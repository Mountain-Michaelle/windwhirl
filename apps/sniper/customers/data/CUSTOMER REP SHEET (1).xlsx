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inedu\Downloads\"/>
    </mc:Choice>
  </mc:AlternateContent>
  <bookViews>
    <workbookView xWindow="0" yWindow="0" windowWidth="20490" windowHeight="7905"/>
  </bookViews>
  <sheets>
    <sheet name="July Customers Rep Sheet" sheetId="1" r:id="rId1"/>
  </sheets>
  <definedNames>
    <definedName name="_xlnm._FilterDatabase" localSheetId="0" hidden="1">'July Customers Rep Sheet'!$I$1:$I$1025</definedName>
    <definedName name="Z_0C51C0BE_9C63_48BC_88B7_5836CDAFE1D1_.wvu.FilterData" localSheetId="0" hidden="1">'July Customers Rep Sheet'!$A$1:$U$526</definedName>
    <definedName name="Z_1713B7F3_1650_4BFE_A450_4B00E81F9191_.wvu.FilterData" localSheetId="0" hidden="1">'July Customers Rep Sheet'!$A$1:$V$500</definedName>
    <definedName name="Z_59A6B077_2EDF_42ED_9CE9_18C908993932_.wvu.FilterData" localSheetId="0" hidden="1">'July Customers Rep Sheet'!$A$1:$V$526</definedName>
  </definedNames>
  <calcPr calcId="152511"/>
  <customWorkbookViews>
    <customWorkbookView name="checkup_for_today" guid="{59A6B077-2EDF-42ED-9CE9-18C908993932}" maximized="1" windowWidth="0" windowHeight="0" activeSheetId="0"/>
    <customWorkbookView name="overdue_checkups" guid="{0C51C0BE-9C63-48BC-88B7-5836CDAFE1D1}" maximized="1" windowWidth="0" windowHeight="0" activeSheetId="0"/>
    <customWorkbookView name="flagged_orders" guid="{1713B7F3-1650-4BFE-A450-4B00E81F9191}" maximized="1" windowWidth="0" windowHeight="0" activeSheetId="0"/>
  </customWorkbookViews>
</workbook>
</file>

<file path=xl/calcChain.xml><?xml version="1.0" encoding="utf-8"?>
<calcChain xmlns="http://schemas.openxmlformats.org/spreadsheetml/2006/main">
  <c r="V14" i="1" l="1"/>
  <c r="U14" i="1"/>
  <c r="T14" i="1"/>
  <c r="S14" i="1"/>
  <c r="B14" i="1"/>
  <c r="V13" i="1"/>
  <c r="U13" i="1"/>
  <c r="T13" i="1"/>
  <c r="S13" i="1"/>
  <c r="B13" i="1"/>
  <c r="V12" i="1"/>
  <c r="U12" i="1"/>
  <c r="T12" i="1"/>
  <c r="S12" i="1"/>
  <c r="B12" i="1"/>
  <c r="V11" i="1"/>
  <c r="U11" i="1"/>
  <c r="T11" i="1"/>
  <c r="S11" i="1"/>
  <c r="B11" i="1"/>
  <c r="V10" i="1"/>
  <c r="U10" i="1"/>
  <c r="T10" i="1"/>
  <c r="S10" i="1"/>
  <c r="B10" i="1"/>
  <c r="V9" i="1"/>
  <c r="U9" i="1"/>
  <c r="T9" i="1"/>
  <c r="S9" i="1"/>
  <c r="B9" i="1"/>
  <c r="V8" i="1"/>
  <c r="U8" i="1"/>
  <c r="T8" i="1"/>
  <c r="S8" i="1"/>
  <c r="B8" i="1"/>
  <c r="V7" i="1"/>
  <c r="U7" i="1"/>
  <c r="T7" i="1"/>
  <c r="S7" i="1"/>
  <c r="B7" i="1"/>
  <c r="V6" i="1"/>
  <c r="U6" i="1"/>
  <c r="T6" i="1"/>
  <c r="S6" i="1"/>
  <c r="B6" i="1"/>
  <c r="V5" i="1"/>
  <c r="U5" i="1"/>
  <c r="T5" i="1"/>
  <c r="S5" i="1"/>
  <c r="B5" i="1"/>
  <c r="V4" i="1"/>
  <c r="U4" i="1"/>
  <c r="T4" i="1"/>
  <c r="S4" i="1"/>
  <c r="B4" i="1"/>
  <c r="V3" i="1"/>
  <c r="U3" i="1"/>
  <c r="T3" i="1"/>
  <c r="S3" i="1"/>
  <c r="B3" i="1"/>
  <c r="V2" i="1"/>
  <c r="U2" i="1"/>
  <c r="T2" i="1"/>
  <c r="S2" i="1"/>
  <c r="B2" i="1"/>
</calcChain>
</file>

<file path=xl/sharedStrings.xml><?xml version="1.0" encoding="utf-8"?>
<sst xmlns="http://schemas.openxmlformats.org/spreadsheetml/2006/main" count="162" uniqueCount="113">
  <si>
    <t>Raw Message</t>
  </si>
  <si>
    <t>Filtered #</t>
  </si>
  <si>
    <t>Customer Name</t>
  </si>
  <si>
    <t>Phone Number</t>
  </si>
  <si>
    <t>WhatsApp Number</t>
  </si>
  <si>
    <t>Note</t>
  </si>
  <si>
    <t>Action</t>
  </si>
  <si>
    <t>Check-up Date &amp; Time</t>
  </si>
  <si>
    <t>Date</t>
  </si>
  <si>
    <t>Category</t>
  </si>
  <si>
    <t>Product</t>
  </si>
  <si>
    <t>Price (₦)</t>
  </si>
  <si>
    <t>Address</t>
  </si>
  <si>
    <t>Delivery Date</t>
  </si>
  <si>
    <t>Question</t>
  </si>
  <si>
    <t>Duplicate Order?</t>
  </si>
  <si>
    <t>Invalid Number?</t>
  </si>
  <si>
    <t>S/N</t>
  </si>
  <si>
    <t>Today Check-up?</t>
  </si>
  <si>
    <t>Flagged (Dup/Invalid)?</t>
  </si>
  <si>
    <t>Overdue Check-up?</t>
  </si>
  <si>
    <t>Today's Order?</t>
  </si>
  <si>
    <t>Report</t>
  </si>
  <si>
    <t>Delivered</t>
  </si>
  <si>
    <t>1 Advanced Collagen Body Lotion + Free Scar Repair Cream + Free Collagen Hand Cream — ₦28,500</t>
  </si>
  <si>
    <t>Tomorrow</t>
  </si>
  <si>
    <t>Posted on DELTA- ATOMIC LOGISTICS (Boss watches)</t>
  </si>
  <si>
    <t>Tiktok Body lotion</t>
  </si>
  <si>
    <t>Today</t>
  </si>
  <si>
    <t>Scheduled</t>
  </si>
  <si>
    <t>The Day After Tomorrow</t>
  </si>
  <si>
    <t>No</t>
  </si>
  <si>
    <t>"*14th July*
*Tiktok Sadoer 
Select Your Package
 	1 Combo set -(1 serum &amp; 1 Cream) + 2 FREE Spa Facial Masks + Free Doorstep Delivery = #29,500
Input your Full Name
 	Elavete lucky
Input Phone Number
 	09163307288
Input Whatsapp Number
 	09163307255
Input Full Address
 	Okpanam by city gate, Asaba State.
When do you want us to deliver to you?
 	Today
Do you have any questions?
 	I hope it does not breach the face"</t>
  </si>
  <si>
    <t>Elavete lucky</t>
  </si>
  <si>
    <t>+2349163307288</t>
  </si>
  <si>
    <t>+2349163307255</t>
  </si>
  <si>
    <t>"*14th July | Tiktok Sadoer</t>
  </si>
  <si>
    <t>1 Combo set -(1 serum &amp; 1 Cream) + 2 FREE Spa Facial Masks + Free Doorstep Delivery — ₦29,500</t>
  </si>
  <si>
    <t>Okpanam by city gate, Asaba State.</t>
  </si>
  <si>
    <t>I hope it does not breach the face"</t>
  </si>
  <si>
    <t>*14th July*
*Tiktok Body lotion*
Select Your Package
 	1 Advanced Collagen Body Lotion + Free Scar Repair Cream + Free Collagen Hand Cream = #28,500
Input your Full Name
 	Fam
Input Phone Number
 	081 4876 6276
Input Whatsapp Number
 	07038201091
Input Full Address
 	Agbor delta state
When do you want us to deliver to you?
 	Today
Do you have any questions?
 	What time are you delivering?</t>
  </si>
  <si>
    <t>Fam</t>
  </si>
  <si>
    <t>+2348148766276</t>
  </si>
  <si>
    <t>+2347038201091</t>
  </si>
  <si>
    <t>Agbor delta state</t>
  </si>
  <si>
    <t>What time are you delivering?</t>
  </si>
  <si>
    <t>*14th July*
*Tiktok Body lotion*
Select Your Package
 	1 Advanced Collagen Body Lotion + Free Scar Repair Cream + Free Collagen Hand Cream = #28,500
Input your Full Name
 	Lemuwa Innocent chijoke
Input Phone Number
 	2348129439767
Input Whatsapp Number
 	08171934876
Input Full Address
 	No 7 Adewale street off bayuf busstop badagry express way, Lagos
When do you want us to deliver to you?
 	Today
Do you have any questions?
 	When am I getting</t>
  </si>
  <si>
    <t>Lemuwa Innocent chijoke</t>
  </si>
  <si>
    <t>+2348129439767</t>
  </si>
  <si>
    <t>+2348171934876</t>
  </si>
  <si>
    <t>Posted on LAGOS 4 GROUP(UCHRIS GLOBAL ×MOTARIO LOGISTICS)</t>
  </si>
  <si>
    <t>No 7 Adewale street off bayuf busstop badagry express way, Lagos</t>
  </si>
  <si>
    <t>When am I getting</t>
  </si>
  <si>
    <t>*14th July*
*Tiktok Body lotion*
Select Your Package
 	1 Advanced Collagen Body Lotion + Free Scar Repair Cream + Free Collagen Hand Cream = #28,500
Input your Full Name
 	Olajide temitope itunu
Input Phone Number
 	07060514636
Input Whatsapp Number
 	07060514636
Input Full Address
 	Ikorodu garage from there to igbogbo from there to Agufoye last bus stop, Lagos State
When do you want us to deliver to you?
 	The Day After Tomorrow
Do you have any questions?
 	No</t>
  </si>
  <si>
    <t>Olajide temitope itunu</t>
  </si>
  <si>
    <t>+2347060514636</t>
  </si>
  <si>
    <t>Posted on Lagos 4 Group,  "carried over"</t>
  </si>
  <si>
    <t>Awaiting</t>
  </si>
  <si>
    <t>Ikorodu garage from there to igbogbo from there to Agufoye last bus stop, Lagos State</t>
  </si>
  <si>
    <t>*14th July*
*Body lotion*
Select Your Package
 	1 Advanced Collagen Body Lotion + 1 Free Scar Repair Cream + Free Collagen Hand Cream + Free doorstep delivery = #28,500
Input your Full Name
 	Fabulous Soweto
Input Phone Number
 	09139236108
Input Whatsapp Number
 	09139236108
Input Full Address
 	Cross river state, ikom.
When do you want us to deliver to you?
 	The Day After Tomorrow
Do you have any questions?
 	No</t>
  </si>
  <si>
    <t>Fabulous Soweto</t>
  </si>
  <si>
    <t>+2349139236108</t>
  </si>
  <si>
    <t>Switched Off</t>
  </si>
  <si>
    <t>Body lotion</t>
  </si>
  <si>
    <t>1 Advanced Collagen Body Lotion + 1 Free Scar Repair Cream + Free Collagen Hand Cream + Free doorstep delivery — ₦28,500</t>
  </si>
  <si>
    <t>Cross river state, ikom.</t>
  </si>
  <si>
    <t>*14th July*
*Tiktok Sadoer 
Select Your Package
 	1 Combo set -(1 serum &amp; 1 Cream) + 2 FREE Spa Facial Masks + Free Doorstep Delivery = #29,500
Input your Full Name
 	Chinelo
Input Phone Number
 	2348141666361
Input Whatsapp Number
 	08141666361
Input Full Address
 	GUO park Unizik junction Awka, Anambra state
When do you want us to deliver to you?
 	The Day After Tomorrow
Do you have any questions?
 	How long till delivery?</t>
  </si>
  <si>
    <t>Chinelo</t>
  </si>
  <si>
    <t>+2348141666361</t>
  </si>
  <si>
    <t>Tiktok Sadoer</t>
  </si>
  <si>
    <t>GUO park Unizik junction Awka, Anambra state</t>
  </si>
  <si>
    <t>How long till delivery?</t>
  </si>
  <si>
    <t>*14th July*
*Tiktok Body lotion*
Select Your Package
 	1 Advanced Collagen Body Lotion + Free Scar Repair Cream + Free Collagen Hand Cream = #28,500
Input your Full Name
 	Olaleye mojirola
Input Phone Number
 	08027831177
Input Whatsapp Number
 	08027831177
Input Full Address
 	7, kemi salami street, obadore
When do you want us to deliver to you?
 	The Day After Tomorrow
Do you have any questions?
 	I also want the face cream and the oil</t>
  </si>
  <si>
    <t>Olaleye mojirola</t>
  </si>
  <si>
    <t>+2348027831177</t>
  </si>
  <si>
    <t>Not Picking Calls</t>
  </si>
  <si>
    <t>I also want the face cream and the oil</t>
  </si>
  <si>
    <t>*14th July*
*Tiktok Body lotion*
Select Your Package
 	1 Advanced Collagen Body Lotion + Free Scar Repair Cream + Free Collagen Hand Cream = #28,500
Input your Full Name
 	Aneke Testimony Chinecherem
Input Phone Number
 	09071669026
Input Whatsapp Number
 	09071669026
Input Full Address
 	No 19 obelendu street Emene Enugu State
When do you want us to deliver to you?
 	The Day After Tomorrow
Do you have any questions?
 	No</t>
  </si>
  <si>
    <t>Aneke Testimony Chinecherem</t>
  </si>
  <si>
    <t>+2349071669026</t>
  </si>
  <si>
    <t>Please I have ordered the cream from jumia
Can you cancel my order</t>
  </si>
  <si>
    <t>Cancelled</t>
  </si>
  <si>
    <t>No 19 obelendu street Emene Enugu State</t>
  </si>
  <si>
    <t>*14th July*
*Tiktok Sadoer*
Select Your Package
 	1 Combo set -(1 serum &amp; 1 Cream) + 2 FREE Spa Facial Masks + Free Doorstep Delivery = #29,500
Input your Full Name
 	Olajumoke Olasupo
Input Phone Number
 	08109952450
Input Whatsapp Number
 	08109952450
Input Full Address
 	Egbeda ibadan
When do you want us to deliver to you?
 	The Day After Tomorrow
Do you have any questions?
 	No</t>
  </si>
  <si>
    <t>Olajumoke Olasupo</t>
  </si>
  <si>
    <t>+2348109952450</t>
  </si>
  <si>
    <t xml:space="preserve"> "carried over", Ibadan deliveries </t>
  </si>
  <si>
    <t>Egbeda ibadan</t>
  </si>
  <si>
    <t>*14th July*
*Tiktok Sadoer*
Select Your Package
 	1 Combo set -(1 serum &amp; 1 Cream) + 2 FREE Spa Facial Masks + Free Doorstep Delivery = #29,500
Input your Full Name
 	Ewere Abieyuwa Sandra
Input Phone Number
 	09034806037
Input Whatsapp Number
 	09034806037
Input Full Address
 	21 Prince Nosa street off uyigue Benin Agbor road Benin city Edo state Nigeria
When do you want us to deliver to you?
 	Tomorrow
Do you have any questions?
 	How does it work?</t>
  </si>
  <si>
    <t>Ewere Abieyuwa Sandra</t>
  </si>
  <si>
    <t>+2349034806037</t>
  </si>
  <si>
    <t>21 Prince Nosa street off uyigue Benin Agbor road Benin city Edo state Nigeria</t>
  </si>
  <si>
    <t>How does it work?</t>
  </si>
  <si>
    <t>*14th July*
*Tiktok Sadoer*
Select Your Package
 	1 Combo set -(1 serum &amp; 1 Cream) + 2 FREE Spa Facial Masks + Free Doorstep Delivery = #29,500
Input your Full Name
 	Francis Onazi
Input Phone Number
 	07012259703
Input Whatsapp Number
 	07012259703
Input Full Address
 	Lagos State Ajah
When do you want us to deliver to you?
 	Tomorrow
Do you have any questions?
 No</t>
  </si>
  <si>
    <t>Francis Onazi</t>
  </si>
  <si>
    <t>+2347012259703</t>
  </si>
  <si>
    <t>Posted on LAGOS 4 GROUP(UCHRIS GLOBAL ×MOTARIO LOGISTICS).  Pricing it 5,000</t>
  </si>
  <si>
    <t>Lagos State Ajah</t>
  </si>
  <si>
    <t>*14th July*
*Tiktok Body lotion*
Select Your Package
 	2 Advanced Collagen Body Lotions + 2 Free Scar Repair Creams+ 2 Free Collagen Hand Creams = #47,000
Input your Full Name
 	Rayya ibrahim
Input Phone Number
 	08027253595
Input Whatsapp Number
 	08033020217
Input Full Address
 	Mango gate ijora 7up apapa
When do you want us to deliver to you?
 	Tomorrow
Do you have any questions?
 	Hope it’s work for Mrn also</t>
  </si>
  <si>
    <t>Rayya ibrahim</t>
  </si>
  <si>
    <t>+2348027253595</t>
  </si>
  <si>
    <t>+2348033020217</t>
  </si>
  <si>
    <t>2 Advanced Collagen Body Lotions + 2 Free Scar Repair Creams+ 2 Free Collagen Hand Creams — ₦47,000</t>
  </si>
  <si>
    <t>Hope it’s work for Mrn also</t>
  </si>
  <si>
    <t>*14th July*
*Tiktok Sadoer*.
Select Your Package
 	1 Combo set -(1 serum &amp; 1 Cream) + 2 FREE Spa Facial Masks + Free Doorstep Delivery = #29,500
Input your Full Name
 	Eniola
Input Phone Number
 	08100085628
Input Whatsapp Number
 	08134059253
Input Full Address
 	2 church street,Deeper Life bus stop, igesun Lagos state
When do you want us to deliver to you?
 	Tomorrow
Do you have any questions?
 	Do you include the how to use method ?</t>
  </si>
  <si>
    <t>Eniola</t>
  </si>
  <si>
    <t>+2348100085628</t>
  </si>
  <si>
    <t>+2348134059253</t>
  </si>
  <si>
    <t>Tiktok Sadoer*.</t>
  </si>
  <si>
    <t>2 church street,Deeper Life bus stop, igesun Lagos state</t>
  </si>
  <si>
    <t>Do you include the how to use method ?</t>
  </si>
  <si>
    <t>7, kemi salami street, obadore Lagos</t>
  </si>
  <si>
    <t>Mango gate ijora 7up apapa, Lagos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</si>
</sst>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h:mm"/>
    <numFmt numFmtId="165" formatCode="d\ mmm\ yyyy"/>
    <numFmt numFmtId="166" formatCode="&quot;₦&quot;#,##0"/>
    <numFmt numFmtId="167" formatCode="m/d/yyyy"/>
  </numFmts>
  <fonts count="4" x14ac:knownFonts="1">
    <font>
      <sz val="10"/>
      <color rgb="FF000000"/>
      <name val="Arial"/>
      <scheme val="minor"/>
    </font>
    <font>
      <b/>
      <sz val="10"/>
      <color rgb="FFFFFFFF"/>
      <name val="Arial"/>
      <scheme val="minor"/>
    </font>
    <font>
      <sz val="10"/>
      <color theme="1"/>
      <name val="Arial"/>
      <scheme val="minor"/>
    </font>
    <font>
      <b/>
      <sz val="10"/>
      <color theme="1"/>
      <name val="Arial"/>
      <scheme val="minor"/>
    </font>
  </fonts>
  <fills count="6">
    <fill>
      <patternFill patternType="none"/>
    </fill>
    <fill>
      <patternFill patternType="gray125"/>
    </fill>
    <fill>
      <patternFill patternType="solid">
        <fgColor rgb="FF4A86E8"/>
        <bgColor rgb="FF4A86E8"/>
      </patternFill>
    </fill>
    <fill>
      <patternFill patternType="solid">
        <fgColor rgb="FFC9DAF8"/>
        <bgColor rgb="FFC9DAF8"/>
      </patternFill>
    </fill>
    <fill>
      <patternFill patternType="solid">
        <fgColor rgb="FFFF0000"/>
        <bgColor rgb="FFFF0000"/>
      </patternFill>
    </fill>
    <fill>
      <patternFill patternType="solid">
        <fgColor rgb="FFA4C2F4"/>
        <bgColor rgb="FFA4C2F4"/>
      </patternFill>
    </fill>
  </fills>
  <borders count="1">
    <border>
      <left/>
      <right/>
      <top/>
      <bottom/>
      <diagonal/>
    </border>
  </borders>
  <cellStyleXfs count="1">
    <xf numFmtId="0" fontId="0" fillId="0" borderId="0"/>
  </cellStyleXfs>
  <cellXfs count="66">
    <xf numFmtId="0" fontId="0" fillId="0" borderId="0" xfId="0" applyFont="1" applyAlignment="1"/>
    <xf numFmtId="0" fontId="1" fillId="2" borderId="0" xfId="0" applyFont="1" applyFill="1" applyAlignment="1"/>
    <xf numFmtId="0" fontId="1" fillId="2" borderId="0" xfId="0" applyFont="1" applyFill="1" applyAlignment="1">
      <alignment horizontal="center"/>
    </xf>
    <xf numFmtId="0" fontId="1" fillId="2" borderId="0" xfId="0" applyFont="1" applyFill="1" applyAlignment="1"/>
    <xf numFmtId="0" fontId="2" fillId="3" borderId="0" xfId="0" applyFont="1" applyFill="1" applyAlignment="1"/>
    <xf numFmtId="0" fontId="2" fillId="3" borderId="0" xfId="0" applyFont="1" applyFill="1" applyAlignment="1">
      <alignment horizontal="center"/>
    </xf>
    <xf numFmtId="0" fontId="2" fillId="3" borderId="0" xfId="0" applyFont="1" applyFill="1" applyAlignment="1"/>
    <xf numFmtId="49" fontId="2" fillId="3" borderId="0" xfId="0" quotePrefix="1" applyNumberFormat="1" applyFont="1" applyFill="1" applyAlignment="1"/>
    <xf numFmtId="164" fontId="2" fillId="3" borderId="0" xfId="0" applyNumberFormat="1" applyFont="1" applyFill="1" applyAlignment="1"/>
    <xf numFmtId="165" fontId="2" fillId="3" borderId="0" xfId="0" applyNumberFormat="1" applyFont="1" applyFill="1" applyAlignment="1"/>
    <xf numFmtId="166" fontId="2" fillId="3" borderId="0" xfId="0" applyNumberFormat="1" applyFont="1" applyFill="1" applyAlignment="1"/>
    <xf numFmtId="0" fontId="2" fillId="3" borderId="0" xfId="0" applyFont="1" applyFill="1"/>
    <xf numFmtId="0" fontId="2" fillId="3" borderId="0" xfId="0" applyFont="1" applyFill="1" applyAlignment="1">
      <alignment vertical="top" wrapText="1"/>
    </xf>
    <xf numFmtId="0" fontId="2" fillId="2" borderId="0" xfId="0" applyFont="1" applyFill="1" applyAlignment="1"/>
    <xf numFmtId="0" fontId="2" fillId="2" borderId="0" xfId="0" applyFont="1" applyFill="1" applyAlignment="1">
      <alignment horizontal="center"/>
    </xf>
    <xf numFmtId="0" fontId="2" fillId="2" borderId="0" xfId="0" applyFont="1" applyFill="1" applyAlignment="1"/>
    <xf numFmtId="49" fontId="2" fillId="2" borderId="0" xfId="0" quotePrefix="1" applyNumberFormat="1" applyFont="1" applyFill="1" applyAlignment="1"/>
    <xf numFmtId="164" fontId="2" fillId="2" borderId="0" xfId="0" applyNumberFormat="1" applyFont="1" applyFill="1" applyAlignment="1"/>
    <xf numFmtId="165" fontId="2" fillId="2" borderId="0" xfId="0" applyNumberFormat="1" applyFont="1" applyFill="1" applyAlignment="1"/>
    <xf numFmtId="166" fontId="2" fillId="2" borderId="0" xfId="0" applyNumberFormat="1" applyFont="1" applyFill="1" applyAlignment="1"/>
    <xf numFmtId="0" fontId="2" fillId="2" borderId="0" xfId="0" applyFont="1" applyFill="1"/>
    <xf numFmtId="164" fontId="2" fillId="3" borderId="0" xfId="0" applyNumberFormat="1" applyFont="1" applyFill="1"/>
    <xf numFmtId="0" fontId="2" fillId="2" borderId="0" xfId="0" applyFont="1" applyFill="1" applyAlignment="1">
      <alignment vertical="top" wrapText="1"/>
    </xf>
    <xf numFmtId="0" fontId="2" fillId="4" borderId="0" xfId="0" applyFont="1" applyFill="1" applyAlignment="1"/>
    <xf numFmtId="0" fontId="2" fillId="4" borderId="0" xfId="0" applyFont="1" applyFill="1" applyAlignment="1">
      <alignment horizontal="center"/>
    </xf>
    <xf numFmtId="0" fontId="2" fillId="4" borderId="0" xfId="0" applyFont="1" applyFill="1" applyAlignment="1"/>
    <xf numFmtId="49" fontId="2" fillId="4" borderId="0" xfId="0" quotePrefix="1" applyNumberFormat="1" applyFont="1" applyFill="1" applyAlignment="1"/>
    <xf numFmtId="164" fontId="2" fillId="4" borderId="0" xfId="0" applyNumberFormat="1" applyFont="1" applyFill="1" applyAlignment="1"/>
    <xf numFmtId="165" fontId="2" fillId="4" borderId="0" xfId="0" applyNumberFormat="1" applyFont="1" applyFill="1" applyAlignment="1"/>
    <xf numFmtId="166" fontId="2" fillId="4" borderId="0" xfId="0" applyNumberFormat="1" applyFont="1" applyFill="1" applyAlignment="1"/>
    <xf numFmtId="0" fontId="2" fillId="4" borderId="0" xfId="0" applyFont="1" applyFill="1"/>
    <xf numFmtId="0" fontId="2" fillId="0" borderId="0" xfId="0" applyFont="1" applyAlignment="1"/>
    <xf numFmtId="0" fontId="2" fillId="0" borderId="0" xfId="0" applyFont="1" applyAlignment="1">
      <alignment horizontal="center"/>
    </xf>
    <xf numFmtId="0" fontId="2" fillId="0" borderId="0" xfId="0" applyFont="1" applyAlignment="1"/>
    <xf numFmtId="49" fontId="2" fillId="0" borderId="0" xfId="0" applyNumberFormat="1" applyFont="1" applyAlignment="1"/>
    <xf numFmtId="164" fontId="2" fillId="0" borderId="0" xfId="0" applyNumberFormat="1" applyFont="1"/>
    <xf numFmtId="165" fontId="2" fillId="0" borderId="0" xfId="0" applyNumberFormat="1" applyFont="1" applyAlignment="1"/>
    <xf numFmtId="166" fontId="2" fillId="0" borderId="0" xfId="0" applyNumberFormat="1" applyFont="1"/>
    <xf numFmtId="0" fontId="2" fillId="0" borderId="0" xfId="0" applyFont="1" applyAlignment="1"/>
    <xf numFmtId="0" fontId="2" fillId="0" borderId="0" xfId="0" applyFont="1"/>
    <xf numFmtId="0" fontId="2" fillId="3" borderId="0" xfId="0" applyFont="1" applyFill="1" applyAlignment="1">
      <alignment horizontal="center"/>
    </xf>
    <xf numFmtId="166" fontId="2" fillId="3" borderId="0" xfId="0" applyNumberFormat="1" applyFont="1" applyFill="1"/>
    <xf numFmtId="0" fontId="2" fillId="3" borderId="0" xfId="0" applyFont="1" applyFill="1" applyAlignment="1"/>
    <xf numFmtId="0" fontId="2" fillId="4" borderId="0" xfId="0" applyFont="1" applyFill="1" applyAlignment="1">
      <alignment horizontal="center"/>
    </xf>
    <xf numFmtId="164" fontId="2" fillId="4" borderId="0" xfId="0" applyNumberFormat="1" applyFont="1" applyFill="1"/>
    <xf numFmtId="0" fontId="2" fillId="4" borderId="0" xfId="0" applyFont="1" applyFill="1" applyAlignment="1"/>
    <xf numFmtId="0" fontId="2" fillId="5" borderId="0" xfId="0" applyFont="1" applyFill="1" applyAlignment="1"/>
    <xf numFmtId="0" fontId="2" fillId="5" borderId="0" xfId="0" applyFont="1" applyFill="1" applyAlignment="1">
      <alignment horizontal="center"/>
    </xf>
    <xf numFmtId="0" fontId="2" fillId="5" borderId="0" xfId="0" applyFont="1" applyFill="1" applyAlignment="1"/>
    <xf numFmtId="49" fontId="2" fillId="5" borderId="0" xfId="0" quotePrefix="1" applyNumberFormat="1" applyFont="1" applyFill="1" applyAlignment="1"/>
    <xf numFmtId="0" fontId="2" fillId="5" borderId="0" xfId="0" applyFont="1" applyFill="1"/>
    <xf numFmtId="164" fontId="2" fillId="5" borderId="0" xfId="0" applyNumberFormat="1" applyFont="1" applyFill="1" applyAlignment="1"/>
    <xf numFmtId="165" fontId="2" fillId="5" borderId="0" xfId="0" applyNumberFormat="1" applyFont="1" applyFill="1" applyAlignment="1"/>
    <xf numFmtId="166" fontId="2" fillId="5" borderId="0" xfId="0" applyNumberFormat="1" applyFont="1" applyFill="1" applyAlignment="1"/>
    <xf numFmtId="0" fontId="2" fillId="5" borderId="0" xfId="0" applyFont="1" applyFill="1" applyAlignment="1"/>
    <xf numFmtId="49" fontId="2" fillId="0" borderId="0" xfId="0" quotePrefix="1" applyNumberFormat="1" applyFont="1" applyAlignment="1"/>
    <xf numFmtId="166" fontId="2" fillId="0" borderId="0" xfId="0" applyNumberFormat="1" applyFont="1" applyAlignment="1"/>
    <xf numFmtId="164" fontId="2" fillId="0" borderId="0" xfId="0" applyNumberFormat="1" applyFont="1" applyAlignment="1"/>
    <xf numFmtId="0" fontId="2" fillId="0" borderId="0" xfId="0" applyFont="1" applyAlignment="1">
      <alignment vertical="top" wrapText="1"/>
    </xf>
    <xf numFmtId="49" fontId="2" fillId="0" borderId="0" xfId="0" applyNumberFormat="1" applyFont="1"/>
    <xf numFmtId="165" fontId="2" fillId="0" borderId="0" xfId="0" applyNumberFormat="1" applyFont="1"/>
    <xf numFmtId="0" fontId="2" fillId="0" borderId="0" xfId="0" applyFont="1" applyAlignment="1"/>
    <xf numFmtId="0" fontId="1" fillId="2" borderId="0" xfId="0" applyFont="1" applyFill="1" applyAlignment="1">
      <alignment horizontal="center"/>
    </xf>
    <xf numFmtId="0" fontId="3" fillId="0" borderId="0" xfId="0" applyFont="1" applyAlignment="1"/>
    <xf numFmtId="9" fontId="2" fillId="0" borderId="0" xfId="0" applyNumberFormat="1" applyFont="1" applyAlignment="1">
      <alignment horizontal="center"/>
    </xf>
    <xf numFmtId="167" fontId="2" fillId="0" borderId="0" xfId="0" applyNumberFormat="1" applyFont="1" applyAlignment="1"/>
  </cellXfs>
  <cellStyles count="1">
    <cellStyle name="Normal" xfId="0" builtinId="0"/>
  </cellStyles>
  <dxfs count="3">
    <dxf>
      <fill>
        <patternFill patternType="solid">
          <fgColor rgb="FFEFEFEF"/>
          <bgColor rgb="FFEFEFEF"/>
        </patternFill>
      </fill>
    </dxf>
    <dxf>
      <fill>
        <patternFill patternType="solid">
          <fgColor rgb="FFD9EAD3"/>
          <bgColor rgb="FFD9EAD3"/>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Order Summary</a:t>
            </a:r>
          </a:p>
        </c:rich>
      </c:tx>
      <c:overlay val="0"/>
    </c:title>
    <c:autoTitleDeleted val="0"/>
    <c:plotArea>
      <c:layout/>
      <c:barChart>
        <c:barDir val="col"/>
        <c:grouping val="clustered"/>
        <c:varyColors val="1"/>
        <c:ser>
          <c:idx val="0"/>
          <c:order val="0"/>
          <c:invertIfNegative val="1"/>
          <c:val>
            <c:numRef>
              <c:f>'July Customers Rep Sheet'!$A$497:$A$501</c:f>
              <c:numCache>
                <c:formatCode>General</c:formatCode>
                <c:ptCount val="5"/>
              </c:numCache>
            </c:numRef>
          </c:val>
        </c:ser>
        <c:ser>
          <c:idx val="1"/>
          <c:order val="1"/>
          <c:invertIfNegative val="1"/>
          <c:val>
            <c:numRef>
              <c:f>'July Customers Rep Sheet'!$B$497:$B$501</c:f>
              <c:numCache>
                <c:formatCode>General</c:formatCode>
                <c:ptCount val="5"/>
              </c:numCache>
            </c:numRef>
          </c:val>
        </c:ser>
        <c:dLbls>
          <c:showLegendKey val="0"/>
          <c:showVal val="0"/>
          <c:showCatName val="0"/>
          <c:showSerName val="0"/>
          <c:showPercent val="0"/>
          <c:showBubbleSize val="0"/>
        </c:dLbls>
        <c:gapWidth val="150"/>
        <c:axId val="341034552"/>
        <c:axId val="341034944"/>
      </c:barChart>
      <c:catAx>
        <c:axId val="34103455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341034944"/>
        <c:crosses val="autoZero"/>
        <c:auto val="1"/>
        <c:lblAlgn val="ctr"/>
        <c:lblOffset val="100"/>
        <c:noMultiLvlLbl val="1"/>
      </c:catAx>
      <c:valAx>
        <c:axId val="341034944"/>
        <c:scaling>
          <c:orientation val="minMax"/>
        </c:scaling>
        <c:delete val="0"/>
        <c:axPos val="l"/>
        <c:numFmt formatCode="General" sourceLinked="1"/>
        <c:majorTickMark val="cross"/>
        <c:minorTickMark val="cross"/>
        <c:tickLblPos val="nextTo"/>
        <c:spPr>
          <a:ln>
            <a:noFill/>
          </a:ln>
        </c:spPr>
        <c:crossAx val="34103455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495</xdr:row>
      <xdr:rowOff>0</xdr:rowOff>
    </xdr:from>
    <xdr:ext cx="5715000" cy="3533775"/>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25"/>
  <sheetViews>
    <sheetView tabSelected="1" workbookViewId="0">
      <pane xSplit="3" ySplit="1" topLeftCell="D2" activePane="bottomRight" state="frozen"/>
      <selection pane="topRight" activeCell="D1" sqref="D1"/>
      <selection pane="bottomLeft" activeCell="A2" sqref="A2"/>
      <selection pane="bottomRight" activeCell="C10" sqref="C10"/>
    </sheetView>
  </sheetViews>
  <sheetFormatPr defaultColWidth="12.5703125" defaultRowHeight="15.75" customHeight="1" x14ac:dyDescent="0.2"/>
  <cols>
    <col min="1" max="1" width="7.42578125" customWidth="1"/>
    <col min="2" max="2" width="4" customWidth="1"/>
    <col min="3" max="3" width="18" customWidth="1"/>
    <col min="4" max="4" width="13.85546875" customWidth="1"/>
    <col min="5" max="5" width="14.5703125" customWidth="1"/>
    <col min="6" max="6" width="6.42578125" customWidth="1"/>
    <col min="7" max="7" width="9" customWidth="1"/>
    <col min="8" max="8" width="9.140625" customWidth="1"/>
    <col min="9" max="9" width="6.85546875" customWidth="1"/>
    <col min="10" max="10" width="7.5703125" customWidth="1"/>
    <col min="11" max="11" width="6.7109375" customWidth="1"/>
    <col min="12" max="12" width="7" customWidth="1"/>
    <col min="13" max="13" width="9.5703125" customWidth="1"/>
    <col min="14" max="14" width="0.42578125" customWidth="1"/>
    <col min="15" max="15" width="12" customWidth="1"/>
    <col min="16" max="16" width="11.7109375" customWidth="1"/>
    <col min="18" max="18" width="5.85546875" customWidth="1"/>
    <col min="19" max="19" width="6.5703125" customWidth="1"/>
    <col min="20" max="20" width="6.42578125" customWidth="1"/>
    <col min="21" max="21" width="8.42578125" customWidth="1"/>
    <col min="22" max="22" width="6.85546875" customWidth="1"/>
  </cols>
  <sheetData>
    <row r="1" spans="1:26" ht="31.5" customHeight="1" x14ac:dyDescent="0.2">
      <c r="A1" s="1" t="s">
        <v>0</v>
      </c>
      <c r="B1" s="2" t="s">
        <v>1</v>
      </c>
      <c r="C1" s="1"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c r="T1" s="1" t="s">
        <v>19</v>
      </c>
      <c r="U1" s="1" t="s">
        <v>20</v>
      </c>
      <c r="V1" s="1" t="s">
        <v>21</v>
      </c>
      <c r="W1" s="1" t="s">
        <v>22</v>
      </c>
    </row>
    <row r="2" spans="1:26" ht="27" customHeight="1" x14ac:dyDescent="0.2">
      <c r="A2" s="4" t="s">
        <v>32</v>
      </c>
      <c r="B2" s="5">
        <f>IF($R2="","",SUBTOTAL(103,$R$2:$R2))</f>
        <v>1</v>
      </c>
      <c r="C2" s="6" t="s">
        <v>33</v>
      </c>
      <c r="D2" s="7" t="s">
        <v>34</v>
      </c>
      <c r="E2" s="7" t="s">
        <v>35</v>
      </c>
      <c r="F2" s="6" t="s">
        <v>26</v>
      </c>
      <c r="G2" s="6" t="s">
        <v>23</v>
      </c>
      <c r="H2" s="8">
        <v>46217</v>
      </c>
      <c r="I2" s="9">
        <v>46217</v>
      </c>
      <c r="J2" s="6" t="s">
        <v>36</v>
      </c>
      <c r="K2" s="6" t="s">
        <v>37</v>
      </c>
      <c r="L2" s="10">
        <v>29500</v>
      </c>
      <c r="M2" s="6" t="s">
        <v>38</v>
      </c>
      <c r="N2" s="6" t="s">
        <v>28</v>
      </c>
      <c r="O2" s="6" t="s">
        <v>39</v>
      </c>
      <c r="P2" s="6" t="b">
        <v>0</v>
      </c>
      <c r="Q2" s="6" t="b">
        <v>0</v>
      </c>
      <c r="R2" s="6">
        <v>5</v>
      </c>
      <c r="S2" s="11" t="b">
        <f t="shared" ref="S2:S14" ca="1" si="0">IFERROR(IF($H2="",FALSE,INT($H2)=TODAY()),FALSE)</f>
        <v>0</v>
      </c>
      <c r="T2" s="11" t="b">
        <f t="shared" ref="T2:T14" si="1">IFERROR(OR($P2,$Q2),FALSE)</f>
        <v>0</v>
      </c>
      <c r="U2" s="11" t="b">
        <f t="shared" ref="U2:U14" ca="1" si="2">IFERROR(AND($H2&lt;&gt;"",INT($H2)&lt;TODAY(),OR($G2="Scheduled",$G2="Pending")),FALSE)</f>
        <v>0</v>
      </c>
      <c r="V2" s="11" t="b">
        <f t="shared" ref="V2:V14" ca="1" si="3">IFERROR(IF($I2="",FALSE,INT($I2)=TODAY()),FALSE)</f>
        <v>0</v>
      </c>
      <c r="W2" s="12"/>
      <c r="X2" s="11"/>
      <c r="Y2" s="11"/>
      <c r="Z2" s="11"/>
    </row>
    <row r="3" spans="1:26" ht="30" customHeight="1" x14ac:dyDescent="0.2">
      <c r="A3" s="4" t="s">
        <v>40</v>
      </c>
      <c r="B3" s="5">
        <f>IF($R3="","",SUBTOTAL(103,$R$2:$R3))</f>
        <v>2</v>
      </c>
      <c r="C3" s="6" t="s">
        <v>41</v>
      </c>
      <c r="D3" s="7" t="s">
        <v>42</v>
      </c>
      <c r="E3" s="7" t="s">
        <v>43</v>
      </c>
      <c r="F3" s="6" t="s">
        <v>26</v>
      </c>
      <c r="G3" s="6" t="s">
        <v>23</v>
      </c>
      <c r="H3" s="8">
        <v>46218.787499999999</v>
      </c>
      <c r="I3" s="9">
        <v>46217</v>
      </c>
      <c r="J3" s="6" t="s">
        <v>27</v>
      </c>
      <c r="K3" s="6" t="s">
        <v>24</v>
      </c>
      <c r="L3" s="10">
        <v>28500</v>
      </c>
      <c r="M3" s="6" t="s">
        <v>44</v>
      </c>
      <c r="N3" s="6" t="s">
        <v>28</v>
      </c>
      <c r="O3" s="6" t="s">
        <v>45</v>
      </c>
      <c r="P3" s="6" t="b">
        <v>0</v>
      </c>
      <c r="Q3" s="6" t="b">
        <v>0</v>
      </c>
      <c r="R3" s="6">
        <v>6</v>
      </c>
      <c r="S3" s="11" t="b">
        <f t="shared" ca="1" si="0"/>
        <v>0</v>
      </c>
      <c r="T3" s="11" t="b">
        <f t="shared" si="1"/>
        <v>0</v>
      </c>
      <c r="U3" s="11" t="b">
        <f t="shared" ca="1" si="2"/>
        <v>0</v>
      </c>
      <c r="V3" s="11" t="b">
        <f t="shared" ca="1" si="3"/>
        <v>0</v>
      </c>
      <c r="W3" s="11"/>
      <c r="X3" s="11"/>
      <c r="Y3" s="11"/>
      <c r="Z3" s="11"/>
    </row>
    <row r="4" spans="1:26" ht="30.75" customHeight="1" x14ac:dyDescent="0.2">
      <c r="A4" s="4" t="s">
        <v>46</v>
      </c>
      <c r="B4" s="5">
        <f>IF($R4="","",SUBTOTAL(103,$R$2:$R4))</f>
        <v>3</v>
      </c>
      <c r="C4" s="6" t="s">
        <v>47</v>
      </c>
      <c r="D4" s="7" t="s">
        <v>48</v>
      </c>
      <c r="E4" s="7" t="s">
        <v>49</v>
      </c>
      <c r="F4" s="6" t="s">
        <v>50</v>
      </c>
      <c r="G4" s="6" t="s">
        <v>23</v>
      </c>
      <c r="H4" s="8">
        <v>46217</v>
      </c>
      <c r="I4" s="9">
        <v>46217</v>
      </c>
      <c r="J4" s="6" t="s">
        <v>27</v>
      </c>
      <c r="K4" s="6" t="s">
        <v>24</v>
      </c>
      <c r="L4" s="10">
        <v>28500</v>
      </c>
      <c r="M4" s="6" t="s">
        <v>51</v>
      </c>
      <c r="N4" s="6" t="s">
        <v>28</v>
      </c>
      <c r="O4" s="6" t="s">
        <v>52</v>
      </c>
      <c r="P4" s="6" t="b">
        <v>0</v>
      </c>
      <c r="Q4" s="6" t="b">
        <v>0</v>
      </c>
      <c r="R4" s="6">
        <v>7</v>
      </c>
      <c r="S4" s="11" t="b">
        <f t="shared" ca="1" si="0"/>
        <v>0</v>
      </c>
      <c r="T4" s="11" t="b">
        <f t="shared" si="1"/>
        <v>0</v>
      </c>
      <c r="U4" s="11" t="b">
        <f t="shared" ca="1" si="2"/>
        <v>0</v>
      </c>
      <c r="V4" s="11" t="b">
        <f t="shared" ca="1" si="3"/>
        <v>0</v>
      </c>
      <c r="W4" s="12"/>
      <c r="X4" s="11"/>
      <c r="Y4" s="11"/>
      <c r="Z4" s="11"/>
    </row>
    <row r="5" spans="1:26" ht="25.5" customHeight="1" x14ac:dyDescent="0.2">
      <c r="A5" s="13" t="s">
        <v>53</v>
      </c>
      <c r="B5" s="14">
        <f>IF($R5="","",SUBTOTAL(103,$R$2:$R5))</f>
        <v>4</v>
      </c>
      <c r="C5" s="15" t="s">
        <v>54</v>
      </c>
      <c r="D5" s="16" t="s">
        <v>55</v>
      </c>
      <c r="E5" s="16" t="s">
        <v>55</v>
      </c>
      <c r="F5" s="15" t="s">
        <v>56</v>
      </c>
      <c r="G5" s="15" t="s">
        <v>57</v>
      </c>
      <c r="H5" s="17">
        <v>46219.352777777778</v>
      </c>
      <c r="I5" s="18">
        <v>46217</v>
      </c>
      <c r="J5" s="15" t="s">
        <v>27</v>
      </c>
      <c r="K5" s="15" t="s">
        <v>24</v>
      </c>
      <c r="L5" s="19">
        <v>28500</v>
      </c>
      <c r="M5" s="15" t="s">
        <v>58</v>
      </c>
      <c r="N5" s="15" t="s">
        <v>30</v>
      </c>
      <c r="O5" s="15" t="s">
        <v>31</v>
      </c>
      <c r="P5" s="15" t="b">
        <v>0</v>
      </c>
      <c r="Q5" s="15" t="b">
        <v>0</v>
      </c>
      <c r="R5" s="15">
        <v>8</v>
      </c>
      <c r="S5" s="20" t="b">
        <f t="shared" ca="1" si="0"/>
        <v>0</v>
      </c>
      <c r="T5" s="20" t="b">
        <f t="shared" si="1"/>
        <v>0</v>
      </c>
      <c r="U5" s="20" t="b">
        <f t="shared" ca="1" si="2"/>
        <v>0</v>
      </c>
      <c r="V5" s="20" t="b">
        <f t="shared" ca="1" si="3"/>
        <v>0</v>
      </c>
      <c r="W5" s="20"/>
      <c r="X5" s="20"/>
      <c r="Y5" s="20"/>
      <c r="Z5" s="20"/>
    </row>
    <row r="6" spans="1:26" ht="21" customHeight="1" x14ac:dyDescent="0.2">
      <c r="A6" s="4" t="s">
        <v>59</v>
      </c>
      <c r="B6" s="5">
        <f>IF($R6="","",SUBTOTAL(103,$R$2:$R6))</f>
        <v>5</v>
      </c>
      <c r="C6" s="6" t="s">
        <v>60</v>
      </c>
      <c r="D6" s="7" t="s">
        <v>61</v>
      </c>
      <c r="E6" s="7" t="s">
        <v>61</v>
      </c>
      <c r="F6" s="11"/>
      <c r="G6" s="6" t="s">
        <v>62</v>
      </c>
      <c r="H6" s="21"/>
      <c r="I6" s="9">
        <v>46217</v>
      </c>
      <c r="J6" s="6" t="s">
        <v>63</v>
      </c>
      <c r="K6" s="6" t="s">
        <v>64</v>
      </c>
      <c r="L6" s="10">
        <v>28500</v>
      </c>
      <c r="M6" s="6" t="s">
        <v>65</v>
      </c>
      <c r="N6" s="6" t="s">
        <v>30</v>
      </c>
      <c r="O6" s="6" t="s">
        <v>31</v>
      </c>
      <c r="P6" s="6" t="b">
        <v>0</v>
      </c>
      <c r="Q6" s="6" t="b">
        <v>0</v>
      </c>
      <c r="R6" s="6">
        <v>9</v>
      </c>
      <c r="S6" s="11" t="b">
        <f t="shared" ca="1" si="0"/>
        <v>0</v>
      </c>
      <c r="T6" s="11" t="b">
        <f t="shared" si="1"/>
        <v>0</v>
      </c>
      <c r="U6" s="11" t="b">
        <f t="shared" ca="1" si="2"/>
        <v>0</v>
      </c>
      <c r="V6" s="11" t="b">
        <f t="shared" ca="1" si="3"/>
        <v>0</v>
      </c>
      <c r="W6" s="11"/>
      <c r="X6" s="11"/>
      <c r="Y6" s="11"/>
      <c r="Z6" s="11"/>
    </row>
    <row r="7" spans="1:26" ht="21" customHeight="1" x14ac:dyDescent="0.2">
      <c r="A7" s="4" t="s">
        <v>66</v>
      </c>
      <c r="B7" s="5">
        <f>IF($R7="","",SUBTOTAL(103,$R$2:$R7))</f>
        <v>6</v>
      </c>
      <c r="C7" s="6" t="s">
        <v>67</v>
      </c>
      <c r="D7" s="7" t="s">
        <v>68</v>
      </c>
      <c r="E7" s="7" t="s">
        <v>68</v>
      </c>
      <c r="F7" s="11"/>
      <c r="G7" s="6" t="s">
        <v>29</v>
      </c>
      <c r="H7" s="8">
        <v>46225.333333333328</v>
      </c>
      <c r="I7" s="9">
        <v>46217</v>
      </c>
      <c r="J7" s="6" t="s">
        <v>69</v>
      </c>
      <c r="K7" s="6" t="s">
        <v>37</v>
      </c>
      <c r="L7" s="10">
        <v>29500</v>
      </c>
      <c r="M7" s="6" t="s">
        <v>70</v>
      </c>
      <c r="N7" s="6" t="s">
        <v>30</v>
      </c>
      <c r="O7" s="6" t="s">
        <v>71</v>
      </c>
      <c r="P7" s="6" t="b">
        <v>0</v>
      </c>
      <c r="Q7" s="6" t="b">
        <v>0</v>
      </c>
      <c r="R7" s="6">
        <v>10</v>
      </c>
      <c r="S7" s="11" t="b">
        <f t="shared" ca="1" si="0"/>
        <v>0</v>
      </c>
      <c r="T7" s="11" t="b">
        <f t="shared" si="1"/>
        <v>0</v>
      </c>
      <c r="U7" s="11" t="b">
        <f t="shared" ca="1" si="2"/>
        <v>0</v>
      </c>
      <c r="V7" s="11" t="b">
        <f t="shared" ca="1" si="3"/>
        <v>0</v>
      </c>
      <c r="W7" s="11"/>
      <c r="X7" s="11"/>
      <c r="Y7" s="11"/>
      <c r="Z7" s="11"/>
    </row>
    <row r="8" spans="1:26" ht="26.25" customHeight="1" x14ac:dyDescent="0.2">
      <c r="A8" s="13" t="s">
        <v>72</v>
      </c>
      <c r="B8" s="14">
        <f>IF($R8="","",SUBTOTAL(103,$R$2:$R8))</f>
        <v>7</v>
      </c>
      <c r="C8" s="15" t="s">
        <v>73</v>
      </c>
      <c r="D8" s="16" t="s">
        <v>74</v>
      </c>
      <c r="E8" s="16" t="s">
        <v>74</v>
      </c>
      <c r="F8" s="20"/>
      <c r="G8" s="15" t="s">
        <v>75</v>
      </c>
      <c r="H8" s="17">
        <v>46219.380555555559</v>
      </c>
      <c r="I8" s="18">
        <v>46217</v>
      </c>
      <c r="J8" s="15" t="s">
        <v>27</v>
      </c>
      <c r="K8" s="15" t="s">
        <v>24</v>
      </c>
      <c r="L8" s="19">
        <v>28500</v>
      </c>
      <c r="M8" s="15" t="s">
        <v>111</v>
      </c>
      <c r="N8" s="15" t="s">
        <v>30</v>
      </c>
      <c r="O8" s="15" t="s">
        <v>76</v>
      </c>
      <c r="P8" s="15" t="b">
        <v>0</v>
      </c>
      <c r="Q8" s="15" t="b">
        <v>0</v>
      </c>
      <c r="R8" s="15">
        <v>11</v>
      </c>
      <c r="S8" s="20" t="b">
        <f t="shared" ca="1" si="0"/>
        <v>0</v>
      </c>
      <c r="T8" s="20" t="b">
        <f t="shared" si="1"/>
        <v>0</v>
      </c>
      <c r="U8" s="20" t="b">
        <f t="shared" ca="1" si="2"/>
        <v>0</v>
      </c>
      <c r="V8" s="20" t="b">
        <f t="shared" ca="1" si="3"/>
        <v>0</v>
      </c>
      <c r="W8" s="22"/>
      <c r="X8" s="20"/>
      <c r="Y8" s="20"/>
      <c r="Z8" s="20"/>
    </row>
    <row r="9" spans="1:26" ht="22.5" customHeight="1" x14ac:dyDescent="0.2">
      <c r="A9" s="4" t="s">
        <v>77</v>
      </c>
      <c r="B9" s="5">
        <f>IF($R9="","",SUBTOTAL(103,$R$2:$R9))</f>
        <v>8</v>
      </c>
      <c r="C9" s="6" t="s">
        <v>78</v>
      </c>
      <c r="D9" s="7" t="s">
        <v>79</v>
      </c>
      <c r="E9" s="7" t="s">
        <v>79</v>
      </c>
      <c r="F9" s="6" t="s">
        <v>80</v>
      </c>
      <c r="G9" s="6" t="s">
        <v>81</v>
      </c>
      <c r="H9" s="8">
        <v>46219.379166666666</v>
      </c>
      <c r="I9" s="9">
        <v>46217</v>
      </c>
      <c r="J9" s="6" t="s">
        <v>27</v>
      </c>
      <c r="K9" s="6" t="s">
        <v>24</v>
      </c>
      <c r="L9" s="10">
        <v>28500</v>
      </c>
      <c r="M9" s="6" t="s">
        <v>82</v>
      </c>
      <c r="N9" s="6" t="s">
        <v>30</v>
      </c>
      <c r="O9" s="6" t="s">
        <v>31</v>
      </c>
      <c r="P9" s="6" t="b">
        <v>0</v>
      </c>
      <c r="Q9" s="6" t="b">
        <v>0</v>
      </c>
      <c r="R9" s="6">
        <v>12</v>
      </c>
      <c r="S9" s="11" t="b">
        <f t="shared" ca="1" si="0"/>
        <v>0</v>
      </c>
      <c r="T9" s="11" t="b">
        <f t="shared" si="1"/>
        <v>0</v>
      </c>
      <c r="U9" s="11" t="b">
        <f t="shared" ca="1" si="2"/>
        <v>0</v>
      </c>
      <c r="V9" s="11" t="b">
        <f t="shared" ca="1" si="3"/>
        <v>0</v>
      </c>
      <c r="W9" s="11"/>
      <c r="X9" s="11"/>
      <c r="Y9" s="11"/>
      <c r="Z9" s="11"/>
    </row>
    <row r="10" spans="1:26" ht="20.25" customHeight="1" x14ac:dyDescent="0.2">
      <c r="A10" s="13" t="s">
        <v>83</v>
      </c>
      <c r="B10" s="14">
        <f>IF($R10="","",SUBTOTAL(103,$R$2:$R10))</f>
        <v>9</v>
      </c>
      <c r="C10" s="15" t="s">
        <v>84</v>
      </c>
      <c r="D10" s="16" t="s">
        <v>85</v>
      </c>
      <c r="E10" s="16" t="s">
        <v>85</v>
      </c>
      <c r="F10" s="15" t="s">
        <v>86</v>
      </c>
      <c r="G10" s="15" t="s">
        <v>23</v>
      </c>
      <c r="H10" s="17">
        <v>46220.87777777778</v>
      </c>
      <c r="I10" s="18">
        <v>46217</v>
      </c>
      <c r="J10" s="15" t="s">
        <v>69</v>
      </c>
      <c r="K10" s="15" t="s">
        <v>37</v>
      </c>
      <c r="L10" s="19">
        <v>29500</v>
      </c>
      <c r="M10" s="15" t="s">
        <v>87</v>
      </c>
      <c r="N10" s="15" t="s">
        <v>30</v>
      </c>
      <c r="O10" s="15" t="s">
        <v>31</v>
      </c>
      <c r="P10" s="15" t="b">
        <v>0</v>
      </c>
      <c r="Q10" s="15" t="b">
        <v>0</v>
      </c>
      <c r="R10" s="15">
        <v>13</v>
      </c>
      <c r="S10" s="20" t="b">
        <f t="shared" ca="1" si="0"/>
        <v>0</v>
      </c>
      <c r="T10" s="20" t="b">
        <f t="shared" si="1"/>
        <v>0</v>
      </c>
      <c r="U10" s="20" t="b">
        <f t="shared" ca="1" si="2"/>
        <v>0</v>
      </c>
      <c r="V10" s="20" t="b">
        <f t="shared" ca="1" si="3"/>
        <v>0</v>
      </c>
      <c r="W10" s="20"/>
      <c r="X10" s="20"/>
      <c r="Y10" s="20"/>
      <c r="Z10" s="20"/>
    </row>
    <row r="11" spans="1:26" ht="26.25" customHeight="1" x14ac:dyDescent="0.2">
      <c r="A11" s="4" t="s">
        <v>88</v>
      </c>
      <c r="B11" s="5">
        <f>IF($R11="","",SUBTOTAL(103,$R$2:$R11))</f>
        <v>10</v>
      </c>
      <c r="C11" s="6" t="s">
        <v>89</v>
      </c>
      <c r="D11" s="7" t="s">
        <v>90</v>
      </c>
      <c r="E11" s="7" t="s">
        <v>90</v>
      </c>
      <c r="F11" s="11"/>
      <c r="G11" s="6" t="s">
        <v>29</v>
      </c>
      <c r="H11" s="8">
        <v>46228.381944444445</v>
      </c>
      <c r="I11" s="9">
        <v>46217</v>
      </c>
      <c r="J11" s="6" t="s">
        <v>69</v>
      </c>
      <c r="K11" s="6" t="s">
        <v>37</v>
      </c>
      <c r="L11" s="10">
        <v>29500</v>
      </c>
      <c r="M11" s="6" t="s">
        <v>91</v>
      </c>
      <c r="N11" s="6" t="s">
        <v>25</v>
      </c>
      <c r="O11" s="6" t="s">
        <v>92</v>
      </c>
      <c r="P11" s="6" t="b">
        <v>0</v>
      </c>
      <c r="Q11" s="6" t="b">
        <v>0</v>
      </c>
      <c r="R11" s="6">
        <v>14</v>
      </c>
      <c r="S11" s="11" t="b">
        <f t="shared" ca="1" si="0"/>
        <v>0</v>
      </c>
      <c r="T11" s="11" t="b">
        <f t="shared" si="1"/>
        <v>0</v>
      </c>
      <c r="U11" s="11" t="b">
        <f t="shared" ca="1" si="2"/>
        <v>0</v>
      </c>
      <c r="V11" s="11" t="b">
        <f t="shared" ca="1" si="3"/>
        <v>0</v>
      </c>
      <c r="W11" s="11"/>
      <c r="X11" s="11"/>
      <c r="Y11" s="11"/>
      <c r="Z11" s="11"/>
    </row>
    <row r="12" spans="1:26" ht="26.25" customHeight="1" x14ac:dyDescent="0.2">
      <c r="A12" s="23" t="s">
        <v>93</v>
      </c>
      <c r="B12" s="24">
        <f>IF($R12="","",SUBTOTAL(103,$R$2:$R12))</f>
        <v>11</v>
      </c>
      <c r="C12" s="25" t="s">
        <v>94</v>
      </c>
      <c r="D12" s="26" t="s">
        <v>95</v>
      </c>
      <c r="E12" s="26" t="s">
        <v>95</v>
      </c>
      <c r="F12" s="25" t="s">
        <v>96</v>
      </c>
      <c r="G12" s="25" t="s">
        <v>81</v>
      </c>
      <c r="H12" s="27">
        <v>46218.379861111112</v>
      </c>
      <c r="I12" s="28">
        <v>46217</v>
      </c>
      <c r="J12" s="25" t="s">
        <v>69</v>
      </c>
      <c r="K12" s="25" t="s">
        <v>37</v>
      </c>
      <c r="L12" s="29">
        <v>29500</v>
      </c>
      <c r="M12" s="25" t="s">
        <v>97</v>
      </c>
      <c r="N12" s="25" t="s">
        <v>25</v>
      </c>
      <c r="O12" s="25" t="s">
        <v>31</v>
      </c>
      <c r="P12" s="25" t="b">
        <v>0</v>
      </c>
      <c r="Q12" s="25" t="b">
        <v>0</v>
      </c>
      <c r="R12" s="25">
        <v>15</v>
      </c>
      <c r="S12" s="30" t="b">
        <f t="shared" ca="1" si="0"/>
        <v>0</v>
      </c>
      <c r="T12" s="30" t="b">
        <f t="shared" si="1"/>
        <v>0</v>
      </c>
      <c r="U12" s="30" t="b">
        <f t="shared" ca="1" si="2"/>
        <v>0</v>
      </c>
      <c r="V12" s="30" t="b">
        <f t="shared" ca="1" si="3"/>
        <v>0</v>
      </c>
      <c r="W12" s="30"/>
      <c r="X12" s="30"/>
      <c r="Y12" s="30"/>
      <c r="Z12" s="30"/>
    </row>
    <row r="13" spans="1:26" ht="22.5" customHeight="1" x14ac:dyDescent="0.2">
      <c r="A13" s="4" t="s">
        <v>98</v>
      </c>
      <c r="B13" s="5">
        <f>IF($R13="","",SUBTOTAL(103,$R$2:$R13))</f>
        <v>12</v>
      </c>
      <c r="C13" s="6" t="s">
        <v>99</v>
      </c>
      <c r="D13" s="7" t="s">
        <v>100</v>
      </c>
      <c r="E13" s="7" t="s">
        <v>101</v>
      </c>
      <c r="F13" s="6" t="s">
        <v>50</v>
      </c>
      <c r="G13" s="6" t="s">
        <v>23</v>
      </c>
      <c r="H13" s="8">
        <v>46218.881944444445</v>
      </c>
      <c r="I13" s="9">
        <v>46217</v>
      </c>
      <c r="J13" s="6" t="s">
        <v>27</v>
      </c>
      <c r="K13" s="6" t="s">
        <v>102</v>
      </c>
      <c r="L13" s="10">
        <v>47000</v>
      </c>
      <c r="M13" s="6" t="s">
        <v>112</v>
      </c>
      <c r="N13" s="6" t="s">
        <v>25</v>
      </c>
      <c r="O13" s="6" t="s">
        <v>103</v>
      </c>
      <c r="P13" s="6" t="b">
        <v>0</v>
      </c>
      <c r="Q13" s="6" t="b">
        <v>0</v>
      </c>
      <c r="R13" s="6">
        <v>16</v>
      </c>
      <c r="S13" s="11" t="b">
        <f t="shared" ca="1" si="0"/>
        <v>0</v>
      </c>
      <c r="T13" s="11" t="b">
        <f t="shared" si="1"/>
        <v>0</v>
      </c>
      <c r="U13" s="11" t="b">
        <f t="shared" ca="1" si="2"/>
        <v>0</v>
      </c>
      <c r="V13" s="11" t="b">
        <f t="shared" ca="1" si="3"/>
        <v>0</v>
      </c>
      <c r="W13" s="11"/>
      <c r="X13" s="11"/>
      <c r="Y13" s="11"/>
      <c r="Z13" s="11"/>
    </row>
    <row r="14" spans="1:26" ht="22.5" customHeight="1" x14ac:dyDescent="0.2">
      <c r="A14" s="4" t="s">
        <v>104</v>
      </c>
      <c r="B14" s="5">
        <f>IF($R14="","",SUBTOTAL(103,$R$2:$R14))</f>
        <v>13</v>
      </c>
      <c r="C14" s="6" t="s">
        <v>105</v>
      </c>
      <c r="D14" s="7" t="s">
        <v>106</v>
      </c>
      <c r="E14" s="7" t="s">
        <v>107</v>
      </c>
      <c r="F14" s="6" t="s">
        <v>50</v>
      </c>
      <c r="G14" s="6" t="s">
        <v>23</v>
      </c>
      <c r="H14" s="8">
        <v>46218.367361111115</v>
      </c>
      <c r="I14" s="9">
        <v>46217</v>
      </c>
      <c r="J14" s="6" t="s">
        <v>108</v>
      </c>
      <c r="K14" s="6" t="s">
        <v>37</v>
      </c>
      <c r="L14" s="10">
        <v>29500</v>
      </c>
      <c r="M14" s="6" t="s">
        <v>109</v>
      </c>
      <c r="N14" s="6" t="s">
        <v>25</v>
      </c>
      <c r="O14" s="6" t="s">
        <v>110</v>
      </c>
      <c r="P14" s="6" t="b">
        <v>0</v>
      </c>
      <c r="Q14" s="6" t="b">
        <v>0</v>
      </c>
      <c r="R14" s="6">
        <v>17</v>
      </c>
      <c r="S14" s="11" t="b">
        <f t="shared" ca="1" si="0"/>
        <v>0</v>
      </c>
      <c r="T14" s="11" t="b">
        <f t="shared" si="1"/>
        <v>0</v>
      </c>
      <c r="U14" s="11" t="b">
        <f t="shared" ca="1" si="2"/>
        <v>0</v>
      </c>
      <c r="V14" s="11" t="b">
        <f t="shared" ca="1" si="3"/>
        <v>0</v>
      </c>
      <c r="W14" s="11"/>
      <c r="X14" s="11"/>
      <c r="Y14" s="11"/>
      <c r="Z14" s="11"/>
    </row>
    <row r="15" spans="1:26" ht="26.25" customHeight="1" x14ac:dyDescent="0.2">
      <c r="A15" s="31"/>
      <c r="B15" s="32"/>
      <c r="C15" s="33"/>
      <c r="D15" s="34"/>
      <c r="E15" s="34"/>
      <c r="G15" s="33"/>
      <c r="H15" s="35"/>
      <c r="I15" s="36"/>
      <c r="J15" s="31"/>
      <c r="L15" s="37"/>
      <c r="M15" s="33"/>
      <c r="N15" s="33"/>
      <c r="O15" s="33"/>
      <c r="P15" s="33"/>
      <c r="Q15" s="33"/>
      <c r="R15" s="38"/>
      <c r="S15" s="39"/>
      <c r="T15" s="39"/>
      <c r="U15" s="39"/>
      <c r="V15" s="39"/>
    </row>
    <row r="16" spans="1:26" ht="30" customHeight="1" x14ac:dyDescent="0.2">
      <c r="A16" s="4"/>
      <c r="B16" s="40"/>
      <c r="C16" s="6"/>
      <c r="D16" s="7"/>
      <c r="E16" s="7"/>
      <c r="F16" s="11"/>
      <c r="G16" s="6"/>
      <c r="H16" s="21"/>
      <c r="I16" s="9"/>
      <c r="J16" s="4"/>
      <c r="K16" s="11"/>
      <c r="L16" s="41"/>
      <c r="M16" s="6"/>
      <c r="N16" s="6"/>
      <c r="O16" s="6"/>
      <c r="P16" s="6"/>
      <c r="Q16" s="6"/>
      <c r="R16" s="42"/>
      <c r="S16" s="11"/>
      <c r="T16" s="11"/>
      <c r="U16" s="11"/>
      <c r="V16" s="11"/>
      <c r="W16" s="11"/>
      <c r="X16" s="11"/>
      <c r="Y16" s="11"/>
      <c r="Z16" s="11"/>
    </row>
    <row r="17" spans="1:26" ht="18" customHeight="1" x14ac:dyDescent="0.2">
      <c r="A17" s="4"/>
      <c r="B17" s="40"/>
      <c r="C17" s="6"/>
      <c r="D17" s="7"/>
      <c r="E17" s="7"/>
      <c r="F17" s="6"/>
      <c r="G17" s="6"/>
      <c r="H17" s="8"/>
      <c r="I17" s="9"/>
      <c r="J17" s="4"/>
      <c r="K17" s="6"/>
      <c r="L17" s="10"/>
      <c r="M17" s="6"/>
      <c r="N17" s="6"/>
      <c r="O17" s="6"/>
      <c r="P17" s="6"/>
      <c r="Q17" s="6"/>
      <c r="R17" s="42"/>
      <c r="S17" s="11"/>
      <c r="T17" s="11"/>
      <c r="U17" s="11"/>
      <c r="V17" s="11"/>
      <c r="W17" s="11"/>
      <c r="X17" s="11"/>
      <c r="Y17" s="11"/>
      <c r="Z17" s="11"/>
    </row>
    <row r="18" spans="1:26" ht="26.25" customHeight="1" x14ac:dyDescent="0.2">
      <c r="A18" s="4"/>
      <c r="B18" s="40"/>
      <c r="C18" s="6"/>
      <c r="D18" s="7"/>
      <c r="E18" s="7"/>
      <c r="F18" s="6"/>
      <c r="G18" s="6"/>
      <c r="H18" s="8"/>
      <c r="I18" s="9"/>
      <c r="J18" s="4"/>
      <c r="K18" s="6"/>
      <c r="L18" s="10"/>
      <c r="M18" s="6"/>
      <c r="N18" s="6"/>
      <c r="O18" s="6"/>
      <c r="P18" s="6"/>
      <c r="Q18" s="6"/>
      <c r="R18" s="42"/>
      <c r="S18" s="11"/>
      <c r="T18" s="11"/>
      <c r="U18" s="11"/>
      <c r="V18" s="11"/>
      <c r="W18" s="12"/>
      <c r="X18" s="11"/>
      <c r="Y18" s="11"/>
      <c r="Z18" s="11"/>
    </row>
    <row r="19" spans="1:26" ht="23.25" customHeight="1" x14ac:dyDescent="0.2">
      <c r="A19" s="4"/>
      <c r="B19" s="40"/>
      <c r="C19" s="6"/>
      <c r="D19" s="7"/>
      <c r="E19" s="7"/>
      <c r="F19" s="11"/>
      <c r="G19" s="6"/>
      <c r="H19" s="8"/>
      <c r="I19" s="9"/>
      <c r="J19" s="4"/>
      <c r="K19" s="6"/>
      <c r="L19" s="10"/>
      <c r="M19" s="6"/>
      <c r="N19" s="6"/>
      <c r="O19" s="6"/>
      <c r="P19" s="6"/>
      <c r="Q19" s="6"/>
      <c r="R19" s="42"/>
      <c r="S19" s="11"/>
      <c r="T19" s="11"/>
      <c r="U19" s="11"/>
      <c r="V19" s="11"/>
      <c r="W19" s="12"/>
      <c r="X19" s="11"/>
      <c r="Y19" s="11"/>
      <c r="Z19" s="11"/>
    </row>
    <row r="20" spans="1:26" ht="27" customHeight="1" x14ac:dyDescent="0.2">
      <c r="A20" s="4"/>
      <c r="B20" s="40"/>
      <c r="C20" s="6"/>
      <c r="D20" s="7"/>
      <c r="E20" s="7"/>
      <c r="F20" s="6"/>
      <c r="G20" s="6"/>
      <c r="H20" s="21"/>
      <c r="I20" s="9"/>
      <c r="J20" s="4"/>
      <c r="K20" s="6"/>
      <c r="L20" s="10"/>
      <c r="M20" s="6"/>
      <c r="N20" s="6"/>
      <c r="O20" s="6"/>
      <c r="P20" s="6"/>
      <c r="Q20" s="6"/>
      <c r="R20" s="42"/>
      <c r="S20" s="11"/>
      <c r="T20" s="11"/>
      <c r="U20" s="11"/>
      <c r="V20" s="11"/>
      <c r="W20" s="11"/>
      <c r="X20" s="11"/>
      <c r="Y20" s="11"/>
      <c r="Z20" s="11"/>
    </row>
    <row r="21" spans="1:26" ht="24.75" customHeight="1" x14ac:dyDescent="0.2">
      <c r="A21" s="4"/>
      <c r="B21" s="40"/>
      <c r="C21" s="6"/>
      <c r="D21" s="7"/>
      <c r="E21" s="7"/>
      <c r="F21" s="11"/>
      <c r="G21" s="6"/>
      <c r="H21" s="8"/>
      <c r="I21" s="9"/>
      <c r="J21" s="4"/>
      <c r="K21" s="6"/>
      <c r="L21" s="10"/>
      <c r="M21" s="6"/>
      <c r="N21" s="6"/>
      <c r="O21" s="6"/>
      <c r="P21" s="6"/>
      <c r="Q21" s="6"/>
      <c r="R21" s="42"/>
      <c r="S21" s="11"/>
      <c r="T21" s="11"/>
      <c r="U21" s="11"/>
      <c r="V21" s="11"/>
      <c r="W21" s="12"/>
      <c r="X21" s="11"/>
      <c r="Y21" s="11"/>
      <c r="Z21" s="11"/>
    </row>
    <row r="22" spans="1:26" ht="23.25" customHeight="1" x14ac:dyDescent="0.2">
      <c r="A22" s="4"/>
      <c r="B22" s="40"/>
      <c r="C22" s="6"/>
      <c r="D22" s="7"/>
      <c r="E22" s="7"/>
      <c r="F22" s="6"/>
      <c r="G22" s="6"/>
      <c r="H22" s="8"/>
      <c r="I22" s="9"/>
      <c r="J22" s="4"/>
      <c r="K22" s="6"/>
      <c r="L22" s="10"/>
      <c r="M22" s="6"/>
      <c r="N22" s="6"/>
      <c r="O22" s="6"/>
      <c r="P22" s="6"/>
      <c r="Q22" s="6"/>
      <c r="R22" s="42"/>
      <c r="S22" s="11"/>
      <c r="T22" s="11"/>
      <c r="U22" s="11"/>
      <c r="V22" s="11"/>
      <c r="W22" s="11"/>
      <c r="X22" s="11"/>
      <c r="Y22" s="11"/>
      <c r="Z22" s="11"/>
    </row>
    <row r="23" spans="1:26" ht="15.75" customHeight="1" x14ac:dyDescent="0.2">
      <c r="A23" s="4"/>
      <c r="B23" s="40"/>
      <c r="C23" s="6"/>
      <c r="D23" s="7"/>
      <c r="E23" s="7"/>
      <c r="F23" s="11"/>
      <c r="G23" s="6"/>
      <c r="H23" s="8"/>
      <c r="I23" s="9"/>
      <c r="J23" s="4"/>
      <c r="K23" s="6"/>
      <c r="L23" s="10"/>
      <c r="M23" s="6"/>
      <c r="N23" s="6"/>
      <c r="O23" s="6"/>
      <c r="P23" s="6"/>
      <c r="Q23" s="6"/>
      <c r="R23" s="42"/>
      <c r="S23" s="11"/>
      <c r="T23" s="11"/>
      <c r="U23" s="11"/>
      <c r="V23" s="11"/>
      <c r="W23" s="11"/>
      <c r="X23" s="11"/>
      <c r="Y23" s="11"/>
      <c r="Z23" s="11"/>
    </row>
    <row r="24" spans="1:26" ht="19.5" customHeight="1" x14ac:dyDescent="0.2">
      <c r="A24" s="23"/>
      <c r="B24" s="43"/>
      <c r="C24" s="25"/>
      <c r="D24" s="26"/>
      <c r="E24" s="26"/>
      <c r="F24" s="30"/>
      <c r="G24" s="25"/>
      <c r="H24" s="44"/>
      <c r="I24" s="28"/>
      <c r="J24" s="23"/>
      <c r="K24" s="25"/>
      <c r="L24" s="29"/>
      <c r="M24" s="25"/>
      <c r="N24" s="25"/>
      <c r="O24" s="25"/>
      <c r="P24" s="25"/>
      <c r="Q24" s="25"/>
      <c r="R24" s="45"/>
      <c r="S24" s="30"/>
      <c r="T24" s="30"/>
      <c r="U24" s="30"/>
      <c r="V24" s="30"/>
      <c r="W24" s="30"/>
      <c r="X24" s="30"/>
      <c r="Y24" s="30"/>
      <c r="Z24" s="30"/>
    </row>
    <row r="25" spans="1:26" ht="23.25" customHeight="1" x14ac:dyDescent="0.2">
      <c r="A25" s="4"/>
      <c r="B25" s="40"/>
      <c r="C25" s="6"/>
      <c r="D25" s="7"/>
      <c r="E25" s="7"/>
      <c r="F25" s="6"/>
      <c r="G25" s="6"/>
      <c r="H25" s="8"/>
      <c r="I25" s="9"/>
      <c r="J25" s="4"/>
      <c r="K25" s="6"/>
      <c r="L25" s="10"/>
      <c r="M25" s="6"/>
      <c r="N25" s="6"/>
      <c r="O25" s="6"/>
      <c r="P25" s="6"/>
      <c r="Q25" s="6"/>
      <c r="R25" s="42"/>
      <c r="S25" s="11"/>
      <c r="T25" s="11"/>
      <c r="U25" s="11"/>
      <c r="V25" s="11"/>
      <c r="W25" s="11"/>
      <c r="X25" s="11"/>
      <c r="Y25" s="11"/>
      <c r="Z25" s="11"/>
    </row>
    <row r="26" spans="1:26" ht="25.5" customHeight="1" x14ac:dyDescent="0.2">
      <c r="A26" s="4"/>
      <c r="B26" s="40"/>
      <c r="C26" s="6"/>
      <c r="D26" s="7"/>
      <c r="E26" s="7"/>
      <c r="F26" s="11"/>
      <c r="G26" s="6"/>
      <c r="H26" s="8"/>
      <c r="I26" s="9"/>
      <c r="J26" s="4"/>
      <c r="K26" s="6"/>
      <c r="L26" s="10"/>
      <c r="M26" s="6"/>
      <c r="N26" s="6"/>
      <c r="O26" s="11"/>
      <c r="P26" s="6"/>
      <c r="Q26" s="6"/>
      <c r="R26" s="42"/>
      <c r="S26" s="11"/>
      <c r="T26" s="11"/>
      <c r="U26" s="11"/>
      <c r="V26" s="11"/>
      <c r="W26" s="11"/>
      <c r="X26" s="11"/>
      <c r="Y26" s="11"/>
      <c r="Z26" s="11"/>
    </row>
    <row r="27" spans="1:26" ht="27" customHeight="1" x14ac:dyDescent="0.2">
      <c r="A27" s="4"/>
      <c r="B27" s="40"/>
      <c r="C27" s="6"/>
      <c r="D27" s="7"/>
      <c r="E27" s="7"/>
      <c r="F27" s="6"/>
      <c r="G27" s="6"/>
      <c r="H27" s="8"/>
      <c r="I27" s="9"/>
      <c r="J27" s="4"/>
      <c r="K27" s="6"/>
      <c r="L27" s="10"/>
      <c r="M27" s="6"/>
      <c r="N27" s="6"/>
      <c r="O27" s="6"/>
      <c r="P27" s="6"/>
      <c r="Q27" s="6"/>
      <c r="R27" s="42"/>
      <c r="S27" s="11"/>
      <c r="T27" s="11"/>
      <c r="U27" s="11"/>
      <c r="V27" s="11"/>
      <c r="W27" s="12"/>
      <c r="X27" s="6"/>
      <c r="Y27" s="11"/>
      <c r="Z27" s="11"/>
    </row>
    <row r="28" spans="1:26" ht="27" customHeight="1" x14ac:dyDescent="0.2">
      <c r="A28" s="46"/>
      <c r="B28" s="47"/>
      <c r="C28" s="48"/>
      <c r="D28" s="49"/>
      <c r="E28" s="49"/>
      <c r="F28" s="50"/>
      <c r="G28" s="48"/>
      <c r="H28" s="51"/>
      <c r="I28" s="52"/>
      <c r="J28" s="46"/>
      <c r="K28" s="48"/>
      <c r="L28" s="53"/>
      <c r="M28" s="48"/>
      <c r="N28" s="48"/>
      <c r="O28" s="48"/>
      <c r="P28" s="48"/>
      <c r="Q28" s="48"/>
      <c r="R28" s="54"/>
      <c r="S28" s="50"/>
      <c r="T28" s="50"/>
      <c r="U28" s="50"/>
      <c r="V28" s="50"/>
      <c r="W28" s="50"/>
      <c r="X28" s="50"/>
      <c r="Y28" s="50"/>
      <c r="Z28" s="50"/>
    </row>
    <row r="29" spans="1:26" ht="27" customHeight="1" x14ac:dyDescent="0.2">
      <c r="A29" s="31"/>
      <c r="B29" s="32"/>
      <c r="C29" s="33"/>
      <c r="D29" s="55"/>
      <c r="E29" s="55"/>
      <c r="G29" s="33"/>
      <c r="H29" s="35"/>
      <c r="I29" s="36"/>
      <c r="J29" s="31"/>
      <c r="K29" s="33"/>
      <c r="L29" s="56"/>
      <c r="M29" s="33"/>
      <c r="N29" s="33"/>
      <c r="O29" s="33"/>
      <c r="P29" s="33"/>
      <c r="Q29" s="33"/>
      <c r="R29" s="38"/>
      <c r="S29" s="39"/>
      <c r="T29" s="39"/>
      <c r="U29" s="39"/>
      <c r="V29" s="39"/>
    </row>
    <row r="30" spans="1:26" ht="20.25" customHeight="1" x14ac:dyDescent="0.2">
      <c r="A30" s="31"/>
      <c r="B30" s="32"/>
      <c r="C30" s="33"/>
      <c r="D30" s="55"/>
      <c r="E30" s="55"/>
      <c r="F30" s="33"/>
      <c r="G30" s="33"/>
      <c r="H30" s="57"/>
      <c r="I30" s="36"/>
      <c r="J30" s="31"/>
      <c r="K30" s="33"/>
      <c r="L30" s="56"/>
      <c r="M30" s="33"/>
      <c r="N30" s="33"/>
      <c r="O30" s="33"/>
      <c r="P30" s="33"/>
      <c r="Q30" s="33"/>
      <c r="R30" s="38"/>
      <c r="S30" s="39"/>
      <c r="T30" s="39"/>
      <c r="U30" s="39"/>
      <c r="V30" s="39"/>
      <c r="W30" s="58"/>
    </row>
    <row r="31" spans="1:26" ht="21.75" customHeight="1" x14ac:dyDescent="0.2">
      <c r="A31" s="31"/>
      <c r="B31" s="32"/>
      <c r="C31" s="33"/>
      <c r="D31" s="55"/>
      <c r="E31" s="55"/>
      <c r="G31" s="33"/>
      <c r="H31" s="35"/>
      <c r="I31" s="36"/>
      <c r="J31" s="31"/>
      <c r="K31" s="33"/>
      <c r="L31" s="56"/>
      <c r="M31" s="33"/>
      <c r="N31" s="33"/>
      <c r="O31" s="33"/>
      <c r="P31" s="33"/>
      <c r="Q31" s="33"/>
      <c r="R31" s="38"/>
      <c r="S31" s="39"/>
      <c r="T31" s="39"/>
      <c r="U31" s="39"/>
      <c r="V31" s="39"/>
    </row>
    <row r="32" spans="1:26" ht="27" customHeight="1" x14ac:dyDescent="0.2">
      <c r="A32" s="4"/>
      <c r="B32" s="40"/>
      <c r="C32" s="6"/>
      <c r="D32" s="7"/>
      <c r="E32" s="7"/>
      <c r="F32" s="6"/>
      <c r="G32" s="6"/>
      <c r="H32" s="8"/>
      <c r="I32" s="9"/>
      <c r="J32" s="4"/>
      <c r="K32" s="6"/>
      <c r="L32" s="10"/>
      <c r="M32" s="6"/>
      <c r="N32" s="6"/>
      <c r="O32" s="6"/>
      <c r="P32" s="6"/>
      <c r="Q32" s="6"/>
      <c r="R32" s="42"/>
      <c r="S32" s="11"/>
      <c r="T32" s="11"/>
      <c r="U32" s="11"/>
      <c r="V32" s="11"/>
      <c r="W32" s="11"/>
      <c r="X32" s="11"/>
      <c r="Y32" s="11"/>
      <c r="Z32" s="11"/>
    </row>
    <row r="33" spans="1:26" ht="26.25" customHeight="1" x14ac:dyDescent="0.2">
      <c r="A33" s="31"/>
      <c r="B33" s="32"/>
      <c r="C33" s="33"/>
      <c r="D33" s="55"/>
      <c r="E33" s="55"/>
      <c r="F33" s="33"/>
      <c r="G33" s="33"/>
      <c r="H33" s="57"/>
      <c r="I33" s="36"/>
      <c r="J33" s="31"/>
      <c r="K33" s="33"/>
      <c r="L33" s="56"/>
      <c r="M33" s="33"/>
      <c r="N33" s="33"/>
      <c r="O33" s="33"/>
      <c r="P33" s="33"/>
      <c r="Q33" s="33"/>
      <c r="R33" s="38"/>
      <c r="S33" s="39"/>
      <c r="T33" s="39"/>
      <c r="U33" s="39"/>
      <c r="V33" s="39"/>
      <c r="W33" s="58"/>
    </row>
    <row r="34" spans="1:26" ht="25.5" customHeight="1" x14ac:dyDescent="0.2">
      <c r="A34" s="31"/>
      <c r="B34" s="32"/>
      <c r="C34" s="33"/>
      <c r="D34" s="55"/>
      <c r="E34" s="55"/>
      <c r="G34" s="33"/>
      <c r="H34" s="35"/>
      <c r="I34" s="36"/>
      <c r="J34" s="31"/>
      <c r="K34" s="33"/>
      <c r="L34" s="56"/>
      <c r="M34" s="33"/>
      <c r="N34" s="33"/>
      <c r="O34" s="33"/>
      <c r="P34" s="33"/>
      <c r="Q34" s="33"/>
      <c r="R34" s="38"/>
      <c r="S34" s="39"/>
      <c r="T34" s="39"/>
      <c r="U34" s="39"/>
      <c r="V34" s="39"/>
    </row>
    <row r="35" spans="1:26" ht="19.5" customHeight="1" x14ac:dyDescent="0.2">
      <c r="A35" s="31"/>
      <c r="B35" s="32"/>
      <c r="C35" s="33"/>
      <c r="D35" s="55"/>
      <c r="E35" s="55"/>
      <c r="G35" s="33"/>
      <c r="H35" s="35"/>
      <c r="I35" s="36"/>
      <c r="J35" s="31"/>
      <c r="K35" s="33"/>
      <c r="L35" s="56"/>
      <c r="M35" s="33"/>
      <c r="N35" s="33"/>
      <c r="O35" s="33"/>
      <c r="P35" s="33"/>
      <c r="Q35" s="33"/>
      <c r="R35" s="38"/>
      <c r="S35" s="39"/>
      <c r="T35" s="39"/>
      <c r="U35" s="39"/>
      <c r="V35" s="39"/>
    </row>
    <row r="36" spans="1:26" ht="21" customHeight="1" x14ac:dyDescent="0.2">
      <c r="A36" s="31"/>
      <c r="B36" s="32"/>
      <c r="C36" s="33"/>
      <c r="D36" s="55"/>
      <c r="E36" s="55"/>
      <c r="F36" s="33"/>
      <c r="G36" s="33"/>
      <c r="H36" s="57"/>
      <c r="I36" s="36"/>
      <c r="J36" s="31"/>
      <c r="K36" s="33"/>
      <c r="L36" s="56"/>
      <c r="M36" s="33"/>
      <c r="N36" s="33"/>
      <c r="O36" s="33"/>
      <c r="P36" s="33"/>
      <c r="Q36" s="33"/>
      <c r="R36" s="38"/>
      <c r="S36" s="39"/>
      <c r="T36" s="39"/>
      <c r="U36" s="39"/>
      <c r="V36" s="39"/>
      <c r="W36" s="58"/>
    </row>
    <row r="37" spans="1:26" ht="24" customHeight="1" x14ac:dyDescent="0.2">
      <c r="A37" s="31"/>
      <c r="B37" s="32"/>
      <c r="C37" s="33"/>
      <c r="D37" s="55"/>
      <c r="E37" s="55"/>
      <c r="F37" s="33"/>
      <c r="G37" s="33"/>
      <c r="H37" s="35"/>
      <c r="I37" s="36"/>
      <c r="J37" s="31"/>
      <c r="K37" s="33"/>
      <c r="L37" s="56"/>
      <c r="M37" s="33"/>
      <c r="N37" s="33"/>
      <c r="O37" s="33"/>
      <c r="P37" s="33"/>
      <c r="Q37" s="33"/>
      <c r="R37" s="38"/>
      <c r="S37" s="39"/>
      <c r="T37" s="39"/>
      <c r="U37" s="39"/>
      <c r="V37" s="39"/>
      <c r="W37" s="58"/>
    </row>
    <row r="38" spans="1:26" ht="21.75" customHeight="1" x14ac:dyDescent="0.2">
      <c r="A38" s="31"/>
      <c r="B38" s="32"/>
      <c r="C38" s="33"/>
      <c r="D38" s="55"/>
      <c r="E38" s="55"/>
      <c r="F38" s="33"/>
      <c r="G38" s="33"/>
      <c r="H38" s="35"/>
      <c r="I38" s="36"/>
      <c r="J38" s="31"/>
      <c r="K38" s="33"/>
      <c r="L38" s="56"/>
      <c r="M38" s="33"/>
      <c r="N38" s="33"/>
      <c r="O38" s="33"/>
      <c r="P38" s="33"/>
      <c r="Q38" s="33"/>
      <c r="R38" s="38"/>
      <c r="S38" s="39"/>
      <c r="T38" s="39"/>
      <c r="U38" s="39"/>
      <c r="V38" s="39"/>
    </row>
    <row r="39" spans="1:26" ht="28.5" customHeight="1" x14ac:dyDescent="0.2">
      <c r="A39" s="31"/>
      <c r="B39" s="32"/>
      <c r="C39" s="33"/>
      <c r="D39" s="55"/>
      <c r="E39" s="55"/>
      <c r="F39" s="33"/>
      <c r="G39" s="33"/>
      <c r="H39" s="57"/>
      <c r="I39" s="36"/>
      <c r="J39" s="31"/>
      <c r="K39" s="33"/>
      <c r="L39" s="56"/>
      <c r="M39" s="33"/>
      <c r="N39" s="33"/>
      <c r="O39" s="33"/>
      <c r="P39" s="33"/>
      <c r="Q39" s="33"/>
      <c r="R39" s="38"/>
      <c r="S39" s="39"/>
      <c r="T39" s="39"/>
      <c r="U39" s="39"/>
      <c r="V39" s="39"/>
      <c r="W39" s="58"/>
    </row>
    <row r="40" spans="1:26" ht="25.5" customHeight="1" x14ac:dyDescent="0.2">
      <c r="A40" s="31"/>
      <c r="B40" s="32"/>
      <c r="C40" s="33"/>
      <c r="D40" s="55"/>
      <c r="E40" s="55"/>
      <c r="F40" s="33"/>
      <c r="G40" s="33"/>
      <c r="H40" s="57"/>
      <c r="I40" s="36"/>
      <c r="J40" s="31"/>
      <c r="K40" s="33"/>
      <c r="L40" s="56"/>
      <c r="M40" s="33"/>
      <c r="N40" s="33"/>
      <c r="O40" s="39"/>
      <c r="P40" s="33"/>
      <c r="Q40" s="33"/>
      <c r="R40" s="38"/>
      <c r="S40" s="39"/>
      <c r="T40" s="39"/>
      <c r="U40" s="39"/>
      <c r="V40" s="39"/>
      <c r="W40" s="58"/>
    </row>
    <row r="41" spans="1:26" ht="30" customHeight="1" x14ac:dyDescent="0.2">
      <c r="A41" s="31"/>
      <c r="B41" s="32"/>
      <c r="D41" s="34"/>
      <c r="E41" s="34"/>
      <c r="G41" s="39"/>
      <c r="H41" s="35"/>
      <c r="I41" s="36"/>
      <c r="J41" s="31"/>
      <c r="L41" s="56"/>
      <c r="P41" s="39"/>
      <c r="Q41" s="39"/>
      <c r="S41" s="39"/>
      <c r="T41" s="39"/>
      <c r="U41" s="39"/>
      <c r="V41" s="39"/>
    </row>
    <row r="42" spans="1:26" ht="22.5" customHeight="1" x14ac:dyDescent="0.2">
      <c r="A42" s="31"/>
      <c r="B42" s="32"/>
      <c r="C42" s="33"/>
      <c r="D42" s="55"/>
      <c r="E42" s="55"/>
      <c r="F42" s="39"/>
      <c r="G42" s="33"/>
      <c r="H42" s="35"/>
      <c r="I42" s="36"/>
      <c r="J42" s="31"/>
      <c r="K42" s="33"/>
      <c r="L42" s="56"/>
      <c r="M42" s="33"/>
      <c r="N42" s="33"/>
      <c r="O42" s="33"/>
      <c r="P42" s="33"/>
      <c r="Q42" s="33"/>
      <c r="R42" s="38"/>
      <c r="S42" s="39"/>
      <c r="T42" s="39"/>
      <c r="U42" s="39"/>
      <c r="V42" s="39"/>
      <c r="W42" s="58"/>
    </row>
    <row r="43" spans="1:26" ht="24" customHeight="1" x14ac:dyDescent="0.2">
      <c r="A43" s="23"/>
      <c r="B43" s="43"/>
      <c r="C43" s="25"/>
      <c r="D43" s="26"/>
      <c r="E43" s="26"/>
      <c r="F43" s="30"/>
      <c r="G43" s="30"/>
      <c r="H43" s="44"/>
      <c r="I43" s="28"/>
      <c r="J43" s="23"/>
      <c r="K43" s="25"/>
      <c r="L43" s="29"/>
      <c r="M43" s="25"/>
      <c r="N43" s="25"/>
      <c r="O43" s="25"/>
      <c r="P43" s="25"/>
      <c r="Q43" s="25"/>
      <c r="R43" s="45"/>
      <c r="S43" s="30"/>
      <c r="T43" s="30"/>
      <c r="U43" s="30"/>
      <c r="V43" s="30"/>
      <c r="W43" s="30"/>
      <c r="X43" s="30"/>
      <c r="Y43" s="30"/>
      <c r="Z43" s="30"/>
    </row>
    <row r="44" spans="1:26" ht="21" customHeight="1" x14ac:dyDescent="0.2">
      <c r="A44" s="31"/>
      <c r="B44" s="32"/>
      <c r="C44" s="33"/>
      <c r="D44" s="55"/>
      <c r="E44" s="55"/>
      <c r="F44" s="33"/>
      <c r="G44" s="33"/>
      <c r="H44" s="35"/>
      <c r="I44" s="36"/>
      <c r="J44" s="31"/>
      <c r="K44" s="33"/>
      <c r="L44" s="56"/>
      <c r="M44" s="33"/>
      <c r="N44" s="33"/>
      <c r="O44" s="33"/>
      <c r="P44" s="33"/>
      <c r="Q44" s="33"/>
      <c r="R44" s="38"/>
      <c r="S44" s="39"/>
      <c r="T44" s="39"/>
      <c r="U44" s="39"/>
      <c r="V44" s="39"/>
      <c r="W44" s="58"/>
    </row>
    <row r="45" spans="1:26" ht="21" customHeight="1" x14ac:dyDescent="0.2">
      <c r="A45" s="31"/>
      <c r="B45" s="32"/>
      <c r="C45" s="33"/>
      <c r="D45" s="55"/>
      <c r="E45" s="55"/>
      <c r="F45" s="39"/>
      <c r="G45" s="33"/>
      <c r="H45" s="35"/>
      <c r="I45" s="36"/>
      <c r="J45" s="31"/>
      <c r="K45" s="33"/>
      <c r="L45" s="56"/>
      <c r="M45" s="33"/>
      <c r="N45" s="33"/>
      <c r="O45" s="33"/>
      <c r="P45" s="33"/>
      <c r="Q45" s="33"/>
      <c r="R45" s="38"/>
      <c r="S45" s="39"/>
      <c r="T45" s="39"/>
      <c r="U45" s="39"/>
      <c r="V45" s="39"/>
    </row>
    <row r="46" spans="1:26" ht="21.75" customHeight="1" x14ac:dyDescent="0.2">
      <c r="A46" s="23"/>
      <c r="B46" s="43"/>
      <c r="C46" s="25"/>
      <c r="D46" s="26"/>
      <c r="E46" s="26"/>
      <c r="F46" s="30"/>
      <c r="G46" s="30"/>
      <c r="H46" s="44"/>
      <c r="I46" s="28"/>
      <c r="J46" s="23"/>
      <c r="K46" s="25"/>
      <c r="L46" s="29"/>
      <c r="M46" s="25"/>
      <c r="N46" s="25"/>
      <c r="O46" s="25"/>
      <c r="P46" s="25"/>
      <c r="Q46" s="25"/>
      <c r="R46" s="25"/>
      <c r="S46" s="30"/>
      <c r="T46" s="30"/>
      <c r="U46" s="30"/>
      <c r="V46" s="30"/>
      <c r="W46" s="30"/>
      <c r="X46" s="30"/>
      <c r="Y46" s="30"/>
      <c r="Z46" s="30"/>
    </row>
    <row r="47" spans="1:26" ht="27" customHeight="1" x14ac:dyDescent="0.2">
      <c r="A47" s="31"/>
      <c r="B47" s="32"/>
      <c r="C47" s="33"/>
      <c r="D47" s="55"/>
      <c r="E47" s="55"/>
      <c r="G47" s="33"/>
      <c r="H47" s="35"/>
      <c r="I47" s="36"/>
      <c r="J47" s="31"/>
      <c r="K47" s="33"/>
      <c r="L47" s="56"/>
      <c r="M47" s="33"/>
      <c r="N47" s="33"/>
      <c r="O47" s="33"/>
      <c r="P47" s="33"/>
      <c r="Q47" s="33"/>
      <c r="R47" s="33"/>
      <c r="S47" s="39"/>
      <c r="T47" s="39"/>
      <c r="U47" s="39"/>
      <c r="V47" s="39"/>
      <c r="W47" s="58"/>
    </row>
    <row r="48" spans="1:26" ht="23.25" customHeight="1" x14ac:dyDescent="0.2">
      <c r="A48" s="31"/>
      <c r="B48" s="32"/>
      <c r="C48" s="33"/>
      <c r="D48" s="55"/>
      <c r="E48" s="59"/>
      <c r="G48" s="33"/>
      <c r="H48" s="57"/>
      <c r="I48" s="36"/>
      <c r="J48" s="31"/>
      <c r="K48" s="33"/>
      <c r="L48" s="56"/>
      <c r="M48" s="33"/>
      <c r="P48" s="33"/>
      <c r="Q48" s="33"/>
      <c r="R48" s="33"/>
      <c r="S48" s="39"/>
      <c r="T48" s="39"/>
      <c r="U48" s="39"/>
      <c r="V48" s="39"/>
    </row>
    <row r="49" spans="1:23" ht="25.5" customHeight="1" x14ac:dyDescent="0.2">
      <c r="A49" s="31"/>
      <c r="B49" s="32"/>
      <c r="C49" s="33"/>
      <c r="D49" s="55"/>
      <c r="E49" s="55"/>
      <c r="F49" s="33"/>
      <c r="G49" s="33"/>
      <c r="H49" s="57"/>
      <c r="I49" s="36"/>
      <c r="J49" s="31"/>
      <c r="K49" s="33"/>
      <c r="L49" s="56"/>
      <c r="M49" s="33"/>
      <c r="N49" s="33"/>
      <c r="O49" s="33"/>
      <c r="P49" s="33"/>
      <c r="Q49" s="33"/>
      <c r="R49" s="33"/>
      <c r="S49" s="39"/>
      <c r="T49" s="39"/>
      <c r="U49" s="39"/>
      <c r="V49" s="39"/>
    </row>
    <row r="50" spans="1:23" ht="20.25" customHeight="1" x14ac:dyDescent="0.2">
      <c r="A50" s="31"/>
      <c r="B50" s="32"/>
      <c r="C50" s="33"/>
      <c r="D50" s="55"/>
      <c r="E50" s="55"/>
      <c r="F50" s="33"/>
      <c r="G50" s="33"/>
      <c r="H50" s="57"/>
      <c r="I50" s="36"/>
      <c r="J50" s="31"/>
      <c r="K50" s="33"/>
      <c r="L50" s="56"/>
      <c r="M50" s="33"/>
      <c r="N50" s="33"/>
      <c r="O50" s="33"/>
      <c r="P50" s="33"/>
      <c r="Q50" s="33"/>
      <c r="R50" s="33"/>
      <c r="S50" s="39"/>
      <c r="T50" s="39"/>
      <c r="U50" s="39"/>
      <c r="V50" s="39"/>
      <c r="W50" s="58"/>
    </row>
    <row r="51" spans="1:23" ht="20.25" customHeight="1" x14ac:dyDescent="0.2">
      <c r="A51" s="31"/>
      <c r="B51" s="32"/>
      <c r="C51" s="33"/>
      <c r="D51" s="55"/>
      <c r="E51" s="55"/>
      <c r="F51" s="33"/>
      <c r="G51" s="33"/>
      <c r="H51" s="35"/>
      <c r="I51" s="36"/>
      <c r="J51" s="31"/>
      <c r="K51" s="33"/>
      <c r="L51" s="56"/>
      <c r="M51" s="33"/>
      <c r="N51" s="33"/>
      <c r="O51" s="33"/>
      <c r="P51" s="33"/>
      <c r="Q51" s="33"/>
      <c r="R51" s="33"/>
      <c r="S51" s="39"/>
      <c r="T51" s="39"/>
      <c r="U51" s="39"/>
      <c r="V51" s="39"/>
      <c r="W51" s="58"/>
    </row>
    <row r="52" spans="1:23" ht="31.5" customHeight="1" x14ac:dyDescent="0.2">
      <c r="A52" s="31"/>
      <c r="B52" s="32"/>
      <c r="D52" s="34"/>
      <c r="E52" s="34"/>
      <c r="G52" s="39"/>
      <c r="H52" s="35"/>
      <c r="I52" s="36"/>
      <c r="J52" s="31"/>
      <c r="L52" s="56"/>
      <c r="P52" s="39"/>
      <c r="Q52" s="39"/>
      <c r="S52" s="39"/>
      <c r="T52" s="39"/>
      <c r="U52" s="39"/>
      <c r="V52" s="39"/>
      <c r="W52" s="58"/>
    </row>
    <row r="53" spans="1:23" ht="24" customHeight="1" x14ac:dyDescent="0.2">
      <c r="A53" s="31"/>
      <c r="B53" s="32"/>
      <c r="C53" s="33"/>
      <c r="D53" s="55"/>
      <c r="E53" s="55"/>
      <c r="F53" s="33"/>
      <c r="G53" s="33"/>
      <c r="H53" s="35"/>
      <c r="I53" s="36"/>
      <c r="J53" s="31"/>
      <c r="K53" s="33"/>
      <c r="L53" s="56"/>
      <c r="M53" s="33"/>
      <c r="N53" s="33"/>
      <c r="O53" s="33"/>
      <c r="P53" s="33"/>
      <c r="Q53" s="33"/>
      <c r="R53" s="38"/>
      <c r="S53" s="39"/>
      <c r="T53" s="39"/>
      <c r="U53" s="39"/>
      <c r="V53" s="39"/>
    </row>
    <row r="54" spans="1:23" ht="21.75" customHeight="1" x14ac:dyDescent="0.2">
      <c r="A54" s="31"/>
      <c r="B54" s="32"/>
      <c r="C54" s="33"/>
      <c r="D54" s="55"/>
      <c r="E54" s="55"/>
      <c r="F54" s="33"/>
      <c r="G54" s="33"/>
      <c r="H54" s="35"/>
      <c r="I54" s="36"/>
      <c r="J54" s="31"/>
      <c r="K54" s="33"/>
      <c r="L54" s="56"/>
      <c r="M54" s="33"/>
      <c r="N54" s="33"/>
      <c r="O54" s="33"/>
      <c r="P54" s="33"/>
      <c r="Q54" s="33"/>
      <c r="R54" s="38"/>
      <c r="S54" s="39"/>
      <c r="T54" s="39"/>
      <c r="U54" s="39"/>
      <c r="V54" s="39"/>
      <c r="W54" s="58"/>
    </row>
    <row r="55" spans="1:23" ht="23.25" customHeight="1" x14ac:dyDescent="0.2">
      <c r="A55" s="31"/>
      <c r="B55" s="32"/>
      <c r="C55" s="33"/>
      <c r="D55" s="55"/>
      <c r="E55" s="55"/>
      <c r="F55" s="33"/>
      <c r="G55" s="33"/>
      <c r="H55" s="35"/>
      <c r="I55" s="36"/>
      <c r="J55" s="31"/>
      <c r="K55" s="33"/>
      <c r="L55" s="56"/>
      <c r="M55" s="33"/>
      <c r="N55" s="33"/>
      <c r="O55" s="33"/>
      <c r="P55" s="33"/>
      <c r="Q55" s="33"/>
      <c r="R55" s="38"/>
      <c r="S55" s="39"/>
      <c r="T55" s="39"/>
      <c r="U55" s="39"/>
      <c r="V55" s="39"/>
      <c r="W55" s="58"/>
    </row>
    <row r="56" spans="1:23" ht="17.25" customHeight="1" x14ac:dyDescent="0.2">
      <c r="A56" s="31"/>
      <c r="B56" s="32"/>
      <c r="C56" s="33"/>
      <c r="D56" s="55"/>
      <c r="E56" s="55"/>
      <c r="F56" s="33"/>
      <c r="G56" s="33"/>
      <c r="H56" s="35"/>
      <c r="I56" s="36"/>
      <c r="J56" s="31"/>
      <c r="K56" s="33"/>
      <c r="L56" s="56"/>
      <c r="M56" s="33"/>
      <c r="N56" s="33"/>
      <c r="O56" s="33"/>
      <c r="P56" s="33"/>
      <c r="Q56" s="33"/>
      <c r="R56" s="38"/>
      <c r="S56" s="39"/>
      <c r="T56" s="39"/>
      <c r="U56" s="39"/>
      <c r="V56" s="39"/>
      <c r="W56" s="58"/>
    </row>
    <row r="57" spans="1:23" ht="24" customHeight="1" x14ac:dyDescent="0.2">
      <c r="A57" s="31"/>
      <c r="B57" s="32"/>
      <c r="C57" s="33"/>
      <c r="D57" s="55"/>
      <c r="E57" s="55"/>
      <c r="F57" s="33"/>
      <c r="G57" s="33"/>
      <c r="H57" s="35"/>
      <c r="I57" s="36"/>
      <c r="J57" s="31"/>
      <c r="K57" s="33"/>
      <c r="L57" s="56"/>
      <c r="M57" s="33"/>
      <c r="N57" s="33"/>
      <c r="O57" s="33"/>
      <c r="P57" s="33"/>
      <c r="Q57" s="33"/>
      <c r="R57" s="38"/>
      <c r="S57" s="39"/>
      <c r="T57" s="39"/>
      <c r="U57" s="39"/>
      <c r="V57" s="39"/>
      <c r="W57" s="58"/>
    </row>
    <row r="58" spans="1:23" ht="22.5" customHeight="1" x14ac:dyDescent="0.2">
      <c r="A58" s="31"/>
      <c r="B58" s="32"/>
      <c r="C58" s="33"/>
      <c r="D58" s="55"/>
      <c r="E58" s="55"/>
      <c r="G58" s="33"/>
      <c r="H58" s="57"/>
      <c r="I58" s="36"/>
      <c r="J58" s="31"/>
      <c r="K58" s="33"/>
      <c r="L58" s="56"/>
      <c r="M58" s="33"/>
      <c r="N58" s="33"/>
      <c r="O58" s="33"/>
      <c r="P58" s="33"/>
      <c r="Q58" s="33"/>
      <c r="R58" s="38"/>
      <c r="S58" s="39"/>
      <c r="T58" s="39"/>
      <c r="U58" s="39"/>
      <c r="V58" s="39"/>
    </row>
    <row r="59" spans="1:23" ht="23.25" customHeight="1" x14ac:dyDescent="0.2">
      <c r="A59" s="31"/>
      <c r="B59" s="32"/>
      <c r="C59" s="33"/>
      <c r="D59" s="55"/>
      <c r="E59" s="55"/>
      <c r="G59" s="33"/>
      <c r="H59" s="57"/>
      <c r="I59" s="36"/>
      <c r="J59" s="31"/>
      <c r="K59" s="33"/>
      <c r="L59" s="56"/>
      <c r="M59" s="33"/>
      <c r="N59" s="33"/>
      <c r="O59" s="33"/>
      <c r="P59" s="33"/>
      <c r="Q59" s="33"/>
      <c r="R59" s="38"/>
      <c r="S59" s="39"/>
      <c r="T59" s="39"/>
      <c r="U59" s="39"/>
      <c r="V59" s="39"/>
    </row>
    <row r="60" spans="1:23" ht="18.75" customHeight="1" x14ac:dyDescent="0.2">
      <c r="A60" s="31"/>
      <c r="B60" s="32"/>
      <c r="C60" s="33"/>
      <c r="D60" s="55"/>
      <c r="E60" s="55"/>
      <c r="F60" s="33"/>
      <c r="G60" s="33"/>
      <c r="H60" s="35"/>
      <c r="I60" s="36"/>
      <c r="J60" s="31"/>
      <c r="K60" s="33"/>
      <c r="L60" s="56"/>
      <c r="M60" s="33"/>
      <c r="N60" s="33"/>
      <c r="O60" s="33"/>
      <c r="P60" s="33"/>
      <c r="Q60" s="33"/>
      <c r="R60" s="38"/>
      <c r="S60" s="39"/>
      <c r="T60" s="39"/>
      <c r="U60" s="39"/>
      <c r="V60" s="39"/>
    </row>
    <row r="61" spans="1:23" ht="21" customHeight="1" x14ac:dyDescent="0.2">
      <c r="A61" s="31"/>
      <c r="B61" s="32"/>
      <c r="C61" s="33"/>
      <c r="D61" s="34"/>
      <c r="E61" s="55"/>
      <c r="F61" s="33"/>
      <c r="G61" s="33"/>
      <c r="H61" s="35"/>
      <c r="I61" s="36"/>
      <c r="J61" s="31"/>
      <c r="K61" s="33"/>
      <c r="L61" s="56"/>
      <c r="M61" s="33"/>
      <c r="N61" s="33"/>
      <c r="O61" s="39"/>
      <c r="P61" s="33"/>
      <c r="Q61" s="33"/>
      <c r="R61" s="33"/>
      <c r="S61" s="39"/>
      <c r="T61" s="39"/>
      <c r="U61" s="39"/>
      <c r="V61" s="39"/>
      <c r="W61" s="58"/>
    </row>
    <row r="62" spans="1:23" ht="21" customHeight="1" x14ac:dyDescent="0.2">
      <c r="A62" s="31"/>
      <c r="B62" s="32"/>
      <c r="C62" s="33"/>
      <c r="D62" s="55"/>
      <c r="E62" s="55"/>
      <c r="F62" s="33"/>
      <c r="G62" s="33"/>
      <c r="H62" s="57"/>
      <c r="I62" s="36"/>
      <c r="J62" s="31"/>
      <c r="K62" s="33"/>
      <c r="L62" s="56"/>
      <c r="M62" s="33"/>
      <c r="N62" s="33"/>
      <c r="O62" s="33"/>
      <c r="P62" s="33"/>
      <c r="Q62" s="33"/>
      <c r="R62" s="33"/>
      <c r="S62" s="39"/>
      <c r="T62" s="39"/>
      <c r="U62" s="39"/>
      <c r="V62" s="39"/>
    </row>
    <row r="63" spans="1:23" ht="12.75" x14ac:dyDescent="0.2">
      <c r="B63" s="32"/>
      <c r="D63" s="59"/>
      <c r="E63" s="59"/>
      <c r="G63" s="39"/>
      <c r="H63" s="35"/>
      <c r="I63" s="60"/>
      <c r="J63" s="61"/>
      <c r="L63" s="37"/>
      <c r="P63" s="39"/>
      <c r="Q63" s="39"/>
      <c r="R63" s="33"/>
      <c r="S63" s="39"/>
      <c r="T63" s="39"/>
      <c r="U63" s="39"/>
      <c r="V63" s="39"/>
    </row>
    <row r="64" spans="1:23" ht="12.75" x14ac:dyDescent="0.2">
      <c r="B64" s="32"/>
      <c r="D64" s="59"/>
      <c r="E64" s="59"/>
      <c r="G64" s="39"/>
      <c r="H64" s="35"/>
      <c r="I64" s="60"/>
      <c r="J64" s="61"/>
      <c r="L64" s="37"/>
    </row>
    <row r="65" spans="1:22" ht="20.25" customHeight="1" x14ac:dyDescent="0.2">
      <c r="A65" s="31"/>
      <c r="B65" s="32"/>
      <c r="D65" s="34"/>
      <c r="E65" s="59"/>
      <c r="G65" s="39"/>
      <c r="H65" s="35"/>
      <c r="I65" s="36"/>
      <c r="J65" s="31"/>
      <c r="L65" s="56"/>
    </row>
    <row r="66" spans="1:22" ht="27.75" customHeight="1" x14ac:dyDescent="0.2">
      <c r="A66" s="31"/>
      <c r="B66" s="32"/>
      <c r="D66" s="34"/>
      <c r="E66" s="34"/>
      <c r="G66" s="39"/>
      <c r="H66" s="35"/>
      <c r="I66" s="36"/>
      <c r="J66" s="31"/>
      <c r="L66" s="56"/>
    </row>
    <row r="67" spans="1:22" ht="29.25" customHeight="1" x14ac:dyDescent="0.2">
      <c r="A67" s="31"/>
      <c r="B67" s="32"/>
      <c r="D67" s="34"/>
      <c r="E67" s="34"/>
      <c r="G67" s="39"/>
      <c r="H67" s="35"/>
      <c r="I67" s="36"/>
      <c r="J67" s="31"/>
      <c r="L67" s="56"/>
    </row>
    <row r="68" spans="1:22" ht="31.5" customHeight="1" x14ac:dyDescent="0.2">
      <c r="A68" s="31"/>
      <c r="B68" s="32"/>
      <c r="D68" s="34"/>
      <c r="E68" s="34"/>
      <c r="G68" s="39"/>
      <c r="H68" s="35"/>
      <c r="I68" s="36"/>
      <c r="J68" s="31"/>
      <c r="L68" s="56"/>
    </row>
    <row r="69" spans="1:22" ht="12.75" x14ac:dyDescent="0.2">
      <c r="B69" s="32"/>
      <c r="D69" s="59"/>
      <c r="E69" s="59"/>
      <c r="G69" s="39"/>
      <c r="H69" s="35"/>
      <c r="I69" s="60"/>
      <c r="J69" s="61"/>
      <c r="L69" s="37"/>
    </row>
    <row r="70" spans="1:22" ht="12.75" x14ac:dyDescent="0.2">
      <c r="B70" s="32"/>
      <c r="D70" s="59"/>
      <c r="E70" s="59"/>
      <c r="G70" s="39"/>
      <c r="H70" s="35"/>
      <c r="I70" s="60"/>
      <c r="J70" s="61"/>
      <c r="L70" s="37"/>
      <c r="P70" s="39"/>
      <c r="Q70" s="39"/>
      <c r="R70" s="33"/>
      <c r="S70" s="39"/>
      <c r="T70" s="39"/>
      <c r="U70" s="39"/>
      <c r="V70" s="39"/>
    </row>
    <row r="71" spans="1:22" ht="12.75" x14ac:dyDescent="0.2">
      <c r="B71" s="32"/>
      <c r="D71" s="59"/>
      <c r="E71" s="59"/>
      <c r="G71" s="39"/>
      <c r="H71" s="35"/>
      <c r="I71" s="60"/>
      <c r="J71" s="61"/>
      <c r="L71" s="37"/>
      <c r="P71" s="39"/>
      <c r="Q71" s="39"/>
      <c r="R71" s="33"/>
      <c r="S71" s="39"/>
      <c r="T71" s="39"/>
      <c r="U71" s="39"/>
      <c r="V71" s="39"/>
    </row>
    <row r="72" spans="1:22" ht="12.75" x14ac:dyDescent="0.2">
      <c r="B72" s="32"/>
      <c r="D72" s="59"/>
      <c r="E72" s="59"/>
      <c r="G72" s="39"/>
      <c r="H72" s="35"/>
      <c r="I72" s="60"/>
      <c r="J72" s="61"/>
      <c r="L72" s="37"/>
      <c r="P72" s="39"/>
      <c r="Q72" s="39"/>
      <c r="R72" s="33"/>
      <c r="S72" s="39"/>
      <c r="T72" s="39"/>
      <c r="U72" s="39"/>
      <c r="V72" s="39"/>
    </row>
    <row r="73" spans="1:22" ht="12.75" x14ac:dyDescent="0.2">
      <c r="B73" s="32"/>
      <c r="D73" s="59"/>
      <c r="E73" s="59"/>
      <c r="G73" s="39"/>
      <c r="H73" s="35"/>
      <c r="I73" s="60"/>
      <c r="J73" s="61"/>
      <c r="L73" s="37"/>
      <c r="P73" s="39"/>
      <c r="Q73" s="39"/>
      <c r="R73" s="33"/>
      <c r="S73" s="39"/>
      <c r="T73" s="39"/>
      <c r="U73" s="39"/>
      <c r="V73" s="39"/>
    </row>
    <row r="74" spans="1:22" ht="12.75" x14ac:dyDescent="0.2">
      <c r="B74" s="32"/>
      <c r="D74" s="59"/>
      <c r="E74" s="59"/>
      <c r="G74" s="39"/>
      <c r="H74" s="35"/>
      <c r="I74" s="60"/>
      <c r="J74" s="61"/>
      <c r="L74" s="37"/>
      <c r="P74" s="39"/>
      <c r="Q74" s="39"/>
      <c r="R74" s="33"/>
      <c r="S74" s="39"/>
      <c r="T74" s="39"/>
      <c r="U74" s="39"/>
      <c r="V74" s="39"/>
    </row>
    <row r="75" spans="1:22" ht="12.75" x14ac:dyDescent="0.2">
      <c r="B75" s="32"/>
      <c r="D75" s="59"/>
      <c r="E75" s="59"/>
      <c r="G75" s="39"/>
      <c r="H75" s="35"/>
      <c r="I75" s="60"/>
      <c r="J75" s="61"/>
      <c r="L75" s="37"/>
      <c r="P75" s="39"/>
      <c r="Q75" s="39"/>
      <c r="R75" s="33"/>
      <c r="S75" s="39"/>
      <c r="T75" s="39"/>
      <c r="U75" s="39"/>
      <c r="V75" s="39"/>
    </row>
    <row r="76" spans="1:22" ht="12.75" x14ac:dyDescent="0.2">
      <c r="B76" s="32"/>
      <c r="D76" s="59"/>
      <c r="E76" s="59"/>
      <c r="G76" s="39"/>
      <c r="H76" s="35"/>
      <c r="I76" s="60"/>
      <c r="J76" s="61"/>
      <c r="L76" s="37"/>
      <c r="P76" s="39"/>
      <c r="Q76" s="39"/>
      <c r="R76" s="33"/>
      <c r="S76" s="39"/>
      <c r="T76" s="39"/>
      <c r="U76" s="39"/>
      <c r="V76" s="39"/>
    </row>
    <row r="77" spans="1:22" ht="12.75" x14ac:dyDescent="0.2">
      <c r="B77" s="32"/>
      <c r="D77" s="59"/>
      <c r="E77" s="59"/>
      <c r="G77" s="39"/>
      <c r="H77" s="35"/>
      <c r="I77" s="60"/>
      <c r="J77" s="61"/>
      <c r="L77" s="37"/>
      <c r="P77" s="39"/>
      <c r="Q77" s="39"/>
      <c r="R77" s="33"/>
      <c r="S77" s="39"/>
      <c r="T77" s="39"/>
      <c r="U77" s="39"/>
      <c r="V77" s="39"/>
    </row>
    <row r="78" spans="1:22" ht="12.75" x14ac:dyDescent="0.2">
      <c r="B78" s="32"/>
      <c r="D78" s="59"/>
      <c r="E78" s="59"/>
      <c r="G78" s="39"/>
      <c r="H78" s="35"/>
      <c r="I78" s="60"/>
      <c r="J78" s="61"/>
      <c r="L78" s="37"/>
      <c r="P78" s="39"/>
      <c r="Q78" s="39"/>
      <c r="R78" s="33"/>
      <c r="S78" s="39"/>
      <c r="T78" s="39"/>
      <c r="U78" s="39"/>
      <c r="V78" s="39"/>
    </row>
    <row r="79" spans="1:22" ht="12.75" x14ac:dyDescent="0.2">
      <c r="B79" s="32"/>
      <c r="D79" s="59"/>
      <c r="E79" s="59"/>
      <c r="G79" s="39"/>
      <c r="H79" s="35"/>
      <c r="I79" s="60"/>
      <c r="J79" s="61"/>
      <c r="L79" s="37"/>
      <c r="P79" s="39"/>
      <c r="Q79" s="39"/>
      <c r="R79" s="33"/>
      <c r="S79" s="39"/>
      <c r="T79" s="39"/>
      <c r="U79" s="39"/>
      <c r="V79" s="39"/>
    </row>
    <row r="80" spans="1:22" ht="12.75" x14ac:dyDescent="0.2">
      <c r="B80" s="32"/>
      <c r="D80" s="59"/>
      <c r="E80" s="59"/>
      <c r="G80" s="39"/>
      <c r="H80" s="35"/>
      <c r="I80" s="60"/>
      <c r="J80" s="61"/>
      <c r="L80" s="37"/>
      <c r="P80" s="39"/>
      <c r="Q80" s="39"/>
      <c r="R80" s="33"/>
      <c r="S80" s="39"/>
      <c r="T80" s="39"/>
      <c r="U80" s="39"/>
      <c r="V80" s="39"/>
    </row>
    <row r="81" spans="2:22" ht="12.75" x14ac:dyDescent="0.2">
      <c r="B81" s="32"/>
      <c r="D81" s="59"/>
      <c r="E81" s="59"/>
      <c r="G81" s="39"/>
      <c r="H81" s="35"/>
      <c r="I81" s="60"/>
      <c r="J81" s="61"/>
      <c r="L81" s="37"/>
      <c r="P81" s="39"/>
      <c r="Q81" s="39"/>
      <c r="R81" s="33"/>
      <c r="S81" s="39"/>
      <c r="T81" s="39"/>
      <c r="U81" s="39"/>
      <c r="V81" s="39"/>
    </row>
    <row r="82" spans="2:22" ht="12.75" x14ac:dyDescent="0.2">
      <c r="B82" s="32"/>
      <c r="D82" s="59"/>
      <c r="E82" s="59"/>
      <c r="G82" s="39"/>
      <c r="H82" s="35"/>
      <c r="I82" s="60"/>
      <c r="J82" s="61"/>
      <c r="L82" s="37"/>
      <c r="P82" s="39"/>
      <c r="Q82" s="39"/>
      <c r="R82" s="33"/>
      <c r="S82" s="39"/>
      <c r="T82" s="39"/>
      <c r="U82" s="39"/>
      <c r="V82" s="39"/>
    </row>
    <row r="83" spans="2:22" ht="12.75" x14ac:dyDescent="0.2">
      <c r="B83" s="32"/>
      <c r="D83" s="59"/>
      <c r="E83" s="59"/>
      <c r="G83" s="39"/>
      <c r="H83" s="35"/>
      <c r="I83" s="60"/>
      <c r="J83" s="61"/>
      <c r="L83" s="37"/>
      <c r="P83" s="39"/>
      <c r="Q83" s="39"/>
      <c r="R83" s="33"/>
      <c r="S83" s="39"/>
      <c r="T83" s="39"/>
      <c r="U83" s="39"/>
      <c r="V83" s="39"/>
    </row>
    <row r="84" spans="2:22" ht="12.75" x14ac:dyDescent="0.2">
      <c r="B84" s="32"/>
      <c r="D84" s="59"/>
      <c r="E84" s="59"/>
      <c r="G84" s="39"/>
      <c r="H84" s="35"/>
      <c r="I84" s="60"/>
      <c r="J84" s="61"/>
      <c r="L84" s="37"/>
      <c r="P84" s="39"/>
      <c r="Q84" s="39"/>
      <c r="R84" s="33"/>
      <c r="S84" s="39"/>
      <c r="T84" s="39"/>
      <c r="U84" s="39"/>
      <c r="V84" s="39"/>
    </row>
    <row r="85" spans="2:22" ht="12.75" x14ac:dyDescent="0.2">
      <c r="B85" s="32"/>
      <c r="D85" s="34"/>
      <c r="E85" s="34"/>
      <c r="G85" s="39"/>
      <c r="H85" s="35"/>
      <c r="I85" s="36"/>
      <c r="J85" s="31"/>
      <c r="L85" s="56"/>
    </row>
    <row r="86" spans="2:22" ht="12.75" x14ac:dyDescent="0.2">
      <c r="B86" s="32"/>
      <c r="D86" s="59"/>
      <c r="E86" s="59"/>
      <c r="G86" s="39"/>
      <c r="H86" s="35"/>
      <c r="I86" s="60"/>
      <c r="J86" s="61"/>
      <c r="L86" s="37"/>
      <c r="P86" s="39"/>
      <c r="Q86" s="39"/>
      <c r="R86" s="33"/>
      <c r="S86" s="39"/>
      <c r="T86" s="39"/>
      <c r="U86" s="39"/>
      <c r="V86" s="39"/>
    </row>
    <row r="87" spans="2:22" ht="12.75" x14ac:dyDescent="0.2">
      <c r="B87" s="32"/>
      <c r="D87" s="59"/>
      <c r="E87" s="59"/>
      <c r="G87" s="39"/>
      <c r="H87" s="35"/>
      <c r="I87" s="60"/>
      <c r="J87" s="61"/>
      <c r="L87" s="37"/>
      <c r="P87" s="39"/>
      <c r="Q87" s="39"/>
      <c r="R87" s="33"/>
      <c r="S87" s="39"/>
      <c r="T87" s="39"/>
      <c r="U87" s="39"/>
      <c r="V87" s="39"/>
    </row>
    <row r="88" spans="2:22" ht="12.75" x14ac:dyDescent="0.2">
      <c r="B88" s="32"/>
      <c r="D88" s="59"/>
      <c r="E88" s="59"/>
      <c r="G88" s="39"/>
      <c r="H88" s="35"/>
      <c r="I88" s="60"/>
      <c r="J88" s="61"/>
      <c r="L88" s="37"/>
      <c r="P88" s="39"/>
      <c r="Q88" s="39"/>
      <c r="R88" s="33"/>
      <c r="S88" s="39"/>
      <c r="T88" s="39"/>
      <c r="U88" s="39"/>
      <c r="V88" s="39"/>
    </row>
    <row r="89" spans="2:22" ht="12.75" x14ac:dyDescent="0.2">
      <c r="B89" s="32"/>
      <c r="D89" s="59"/>
      <c r="E89" s="59"/>
      <c r="G89" s="39"/>
      <c r="H89" s="35"/>
      <c r="I89" s="60"/>
      <c r="J89" s="61"/>
      <c r="L89" s="37"/>
      <c r="P89" s="39"/>
      <c r="Q89" s="39"/>
      <c r="R89" s="33"/>
      <c r="S89" s="39"/>
      <c r="T89" s="39"/>
      <c r="U89" s="39"/>
      <c r="V89" s="39"/>
    </row>
    <row r="90" spans="2:22" ht="12.75" x14ac:dyDescent="0.2">
      <c r="B90" s="32"/>
      <c r="D90" s="59"/>
      <c r="E90" s="59"/>
      <c r="G90" s="39"/>
      <c r="H90" s="35"/>
      <c r="I90" s="60"/>
      <c r="J90" s="61"/>
      <c r="L90" s="37"/>
      <c r="P90" s="39"/>
      <c r="Q90" s="39"/>
      <c r="R90" s="33"/>
      <c r="S90" s="39"/>
      <c r="T90" s="39"/>
      <c r="U90" s="39"/>
      <c r="V90" s="39"/>
    </row>
    <row r="91" spans="2:22" ht="12.75" x14ac:dyDescent="0.2">
      <c r="B91" s="32"/>
      <c r="D91" s="59"/>
      <c r="E91" s="59"/>
      <c r="G91" s="39"/>
      <c r="H91" s="35"/>
      <c r="I91" s="60"/>
      <c r="J91" s="61"/>
      <c r="L91" s="37"/>
      <c r="P91" s="39"/>
      <c r="Q91" s="39"/>
      <c r="R91" s="33"/>
      <c r="S91" s="39"/>
      <c r="T91" s="39"/>
      <c r="U91" s="39"/>
      <c r="V91" s="39"/>
    </row>
    <row r="92" spans="2:22" ht="12.75" x14ac:dyDescent="0.2">
      <c r="B92" s="32"/>
      <c r="D92" s="59"/>
      <c r="E92" s="59"/>
      <c r="G92" s="39"/>
      <c r="H92" s="35"/>
      <c r="I92" s="60"/>
      <c r="J92" s="61"/>
      <c r="L92" s="37"/>
      <c r="P92" s="39"/>
      <c r="Q92" s="39"/>
      <c r="R92" s="33"/>
      <c r="S92" s="39"/>
      <c r="T92" s="39"/>
      <c r="U92" s="39"/>
      <c r="V92" s="39"/>
    </row>
    <row r="93" spans="2:22" ht="12.75" x14ac:dyDescent="0.2">
      <c r="B93" s="32"/>
      <c r="D93" s="59"/>
      <c r="E93" s="59"/>
      <c r="G93" s="39"/>
      <c r="H93" s="35"/>
      <c r="I93" s="60"/>
      <c r="J93" s="61"/>
      <c r="L93" s="37"/>
      <c r="P93" s="39"/>
      <c r="Q93" s="39"/>
      <c r="R93" s="33"/>
      <c r="S93" s="39"/>
      <c r="T93" s="39"/>
      <c r="U93" s="39"/>
      <c r="V93" s="39"/>
    </row>
    <row r="94" spans="2:22" ht="12.75" x14ac:dyDescent="0.2">
      <c r="B94" s="32"/>
      <c r="D94" s="59"/>
      <c r="E94" s="59"/>
      <c r="G94" s="39"/>
      <c r="H94" s="35"/>
      <c r="I94" s="60"/>
      <c r="J94" s="61"/>
      <c r="L94" s="37"/>
      <c r="P94" s="39"/>
      <c r="Q94" s="39"/>
      <c r="R94" s="33"/>
      <c r="S94" s="39"/>
      <c r="T94" s="39"/>
      <c r="U94" s="39"/>
      <c r="V94" s="39"/>
    </row>
    <row r="95" spans="2:22" ht="12.75" x14ac:dyDescent="0.2">
      <c r="B95" s="32"/>
      <c r="D95" s="59"/>
      <c r="E95" s="59"/>
      <c r="G95" s="39"/>
      <c r="H95" s="35"/>
      <c r="I95" s="60"/>
      <c r="J95" s="61"/>
      <c r="L95" s="37"/>
      <c r="P95" s="39"/>
      <c r="Q95" s="39"/>
      <c r="R95" s="33"/>
      <c r="S95" s="39"/>
      <c r="T95" s="39"/>
      <c r="U95" s="39"/>
      <c r="V95" s="39"/>
    </row>
    <row r="96" spans="2:22" ht="12.75" x14ac:dyDescent="0.2">
      <c r="B96" s="32"/>
      <c r="D96" s="59"/>
      <c r="E96" s="59"/>
      <c r="G96" s="39"/>
      <c r="H96" s="35"/>
      <c r="I96" s="60"/>
      <c r="J96" s="61"/>
      <c r="L96" s="37"/>
      <c r="P96" s="39"/>
      <c r="Q96" s="39"/>
      <c r="R96" s="33"/>
      <c r="S96" s="39"/>
      <c r="T96" s="39"/>
      <c r="U96" s="39"/>
      <c r="V96" s="39"/>
    </row>
    <row r="97" spans="2:22" ht="12.75" x14ac:dyDescent="0.2">
      <c r="B97" s="32"/>
      <c r="D97" s="59"/>
      <c r="E97" s="59"/>
      <c r="G97" s="39"/>
      <c r="H97" s="35"/>
      <c r="I97" s="60"/>
      <c r="J97" s="61"/>
      <c r="L97" s="37"/>
      <c r="P97" s="39"/>
      <c r="Q97" s="39"/>
      <c r="R97" s="33"/>
      <c r="S97" s="39"/>
      <c r="T97" s="39"/>
      <c r="U97" s="39"/>
      <c r="V97" s="39"/>
    </row>
    <row r="98" spans="2:22" ht="12.75" x14ac:dyDescent="0.2">
      <c r="B98" s="32"/>
      <c r="D98" s="59"/>
      <c r="E98" s="59"/>
      <c r="G98" s="39"/>
      <c r="H98" s="35"/>
      <c r="I98" s="60"/>
      <c r="J98" s="61"/>
      <c r="L98" s="37"/>
      <c r="P98" s="39"/>
      <c r="Q98" s="39"/>
      <c r="R98" s="33"/>
      <c r="S98" s="39"/>
      <c r="T98" s="39"/>
      <c r="U98" s="39"/>
      <c r="V98" s="39"/>
    </row>
    <row r="99" spans="2:22" ht="12.75" x14ac:dyDescent="0.2">
      <c r="B99" s="32"/>
      <c r="D99" s="59"/>
      <c r="E99" s="59"/>
      <c r="G99" s="39"/>
      <c r="H99" s="35"/>
      <c r="I99" s="60"/>
      <c r="J99" s="61"/>
      <c r="L99" s="37"/>
      <c r="P99" s="39"/>
      <c r="Q99" s="39"/>
      <c r="R99" s="33"/>
      <c r="S99" s="39"/>
      <c r="T99" s="39"/>
      <c r="U99" s="39"/>
      <c r="V99" s="39"/>
    </row>
    <row r="100" spans="2:22" ht="12.75" x14ac:dyDescent="0.2">
      <c r="B100" s="32"/>
      <c r="D100" s="59"/>
      <c r="E100" s="59"/>
      <c r="G100" s="39"/>
      <c r="H100" s="35"/>
      <c r="I100" s="60"/>
      <c r="J100" s="61"/>
      <c r="L100" s="37"/>
      <c r="P100" s="39"/>
      <c r="Q100" s="39"/>
      <c r="R100" s="33"/>
      <c r="S100" s="39"/>
      <c r="T100" s="39"/>
      <c r="U100" s="39"/>
      <c r="V100" s="39"/>
    </row>
    <row r="101" spans="2:22" ht="12.75" x14ac:dyDescent="0.2">
      <c r="B101" s="32"/>
      <c r="D101" s="59"/>
      <c r="E101" s="59"/>
      <c r="G101" s="39"/>
      <c r="H101" s="35"/>
      <c r="I101" s="60"/>
      <c r="J101" s="61"/>
      <c r="L101" s="37"/>
      <c r="P101" s="39"/>
      <c r="Q101" s="39"/>
      <c r="R101" s="33"/>
      <c r="S101" s="39"/>
      <c r="T101" s="39"/>
      <c r="U101" s="39"/>
      <c r="V101" s="39"/>
    </row>
    <row r="102" spans="2:22" ht="12.75" x14ac:dyDescent="0.2">
      <c r="B102" s="32"/>
      <c r="D102" s="59"/>
      <c r="E102" s="59"/>
      <c r="G102" s="39"/>
      <c r="H102" s="35"/>
      <c r="I102" s="60"/>
      <c r="J102" s="61"/>
      <c r="L102" s="37"/>
      <c r="P102" s="39"/>
      <c r="Q102" s="39"/>
      <c r="R102" s="33"/>
      <c r="S102" s="39"/>
      <c r="T102" s="39"/>
      <c r="U102" s="39"/>
      <c r="V102" s="39"/>
    </row>
    <row r="103" spans="2:22" ht="12.75" x14ac:dyDescent="0.2">
      <c r="B103" s="32"/>
      <c r="D103" s="59"/>
      <c r="E103" s="59"/>
      <c r="G103" s="39"/>
      <c r="H103" s="35"/>
      <c r="I103" s="60"/>
      <c r="J103" s="61"/>
      <c r="L103" s="37"/>
      <c r="P103" s="39"/>
      <c r="Q103" s="39"/>
      <c r="R103" s="33"/>
      <c r="S103" s="39"/>
      <c r="T103" s="39"/>
      <c r="U103" s="39"/>
      <c r="V103" s="39"/>
    </row>
    <row r="104" spans="2:22" ht="12.75" x14ac:dyDescent="0.2">
      <c r="B104" s="32"/>
      <c r="D104" s="59"/>
      <c r="E104" s="59"/>
      <c r="G104" s="39"/>
      <c r="H104" s="35"/>
      <c r="I104" s="60"/>
      <c r="J104" s="61"/>
      <c r="L104" s="37"/>
      <c r="P104" s="39"/>
      <c r="Q104" s="39"/>
      <c r="R104" s="33"/>
      <c r="S104" s="39"/>
      <c r="T104" s="39"/>
      <c r="U104" s="39"/>
      <c r="V104" s="39"/>
    </row>
    <row r="105" spans="2:22" ht="12.75" x14ac:dyDescent="0.2">
      <c r="B105" s="32"/>
      <c r="D105" s="59"/>
      <c r="E105" s="59"/>
      <c r="G105" s="39"/>
      <c r="H105" s="35"/>
      <c r="I105" s="60"/>
      <c r="J105" s="61"/>
      <c r="L105" s="37"/>
      <c r="P105" s="39"/>
      <c r="Q105" s="39"/>
      <c r="R105" s="33"/>
      <c r="S105" s="39"/>
      <c r="T105" s="39"/>
      <c r="U105" s="39"/>
      <c r="V105" s="39"/>
    </row>
    <row r="106" spans="2:22" ht="12.75" x14ac:dyDescent="0.2">
      <c r="B106" s="32"/>
      <c r="D106" s="59"/>
      <c r="E106" s="59"/>
      <c r="G106" s="39"/>
      <c r="H106" s="35"/>
      <c r="I106" s="60"/>
      <c r="J106" s="61"/>
      <c r="L106" s="37"/>
      <c r="P106" s="39"/>
      <c r="Q106" s="39"/>
      <c r="R106" s="33"/>
      <c r="S106" s="39"/>
      <c r="T106" s="39"/>
      <c r="U106" s="39"/>
      <c r="V106" s="39"/>
    </row>
    <row r="107" spans="2:22" ht="12.75" x14ac:dyDescent="0.2">
      <c r="B107" s="32"/>
      <c r="D107" s="59"/>
      <c r="E107" s="59"/>
      <c r="G107" s="39"/>
      <c r="H107" s="35"/>
      <c r="I107" s="60"/>
      <c r="J107" s="61"/>
      <c r="L107" s="37"/>
      <c r="P107" s="39"/>
      <c r="Q107" s="39"/>
      <c r="R107" s="33"/>
      <c r="S107" s="39"/>
      <c r="T107" s="39"/>
      <c r="U107" s="39"/>
      <c r="V107" s="39"/>
    </row>
    <row r="108" spans="2:22" ht="12.75" x14ac:dyDescent="0.2">
      <c r="B108" s="32"/>
      <c r="D108" s="59"/>
      <c r="E108" s="59"/>
      <c r="G108" s="39"/>
      <c r="H108" s="35"/>
      <c r="I108" s="60"/>
      <c r="J108" s="61"/>
      <c r="L108" s="37"/>
      <c r="P108" s="39"/>
      <c r="Q108" s="39"/>
      <c r="R108" s="33"/>
      <c r="S108" s="39"/>
      <c r="T108" s="39"/>
      <c r="U108" s="39"/>
      <c r="V108" s="39"/>
    </row>
    <row r="109" spans="2:22" ht="12.75" x14ac:dyDescent="0.2">
      <c r="B109" s="32"/>
      <c r="D109" s="59"/>
      <c r="E109" s="59"/>
      <c r="G109" s="39"/>
      <c r="H109" s="35"/>
      <c r="I109" s="60"/>
      <c r="J109" s="61"/>
      <c r="L109" s="37"/>
      <c r="P109" s="39"/>
      <c r="Q109" s="39"/>
      <c r="R109" s="33"/>
      <c r="S109" s="39"/>
      <c r="T109" s="39"/>
      <c r="U109" s="39"/>
      <c r="V109" s="39"/>
    </row>
    <row r="110" spans="2:22" ht="12.75" x14ac:dyDescent="0.2">
      <c r="B110" s="32"/>
      <c r="D110" s="59"/>
      <c r="E110" s="59"/>
      <c r="G110" s="39"/>
      <c r="H110" s="35"/>
      <c r="I110" s="60"/>
      <c r="J110" s="61"/>
      <c r="L110" s="37"/>
      <c r="P110" s="39"/>
      <c r="Q110" s="39"/>
      <c r="R110" s="33"/>
      <c r="S110" s="39"/>
      <c r="T110" s="39"/>
      <c r="U110" s="39"/>
      <c r="V110" s="39"/>
    </row>
    <row r="111" spans="2:22" ht="12.75" x14ac:dyDescent="0.2">
      <c r="B111" s="32"/>
      <c r="D111" s="59"/>
      <c r="E111" s="59"/>
      <c r="G111" s="39"/>
      <c r="H111" s="35"/>
      <c r="I111" s="60"/>
      <c r="J111" s="61"/>
      <c r="L111" s="37"/>
      <c r="P111" s="39"/>
      <c r="Q111" s="39"/>
      <c r="R111" s="33"/>
      <c r="S111" s="39"/>
      <c r="T111" s="39"/>
      <c r="U111" s="39"/>
      <c r="V111" s="39"/>
    </row>
    <row r="112" spans="2:22" ht="12.75" x14ac:dyDescent="0.2">
      <c r="B112" s="32"/>
      <c r="D112" s="59"/>
      <c r="E112" s="59"/>
      <c r="G112" s="39"/>
      <c r="H112" s="35"/>
      <c r="I112" s="60"/>
      <c r="J112" s="61"/>
      <c r="L112" s="37"/>
      <c r="P112" s="39"/>
      <c r="Q112" s="39"/>
      <c r="R112" s="33"/>
      <c r="S112" s="39"/>
      <c r="T112" s="39"/>
      <c r="U112" s="39"/>
      <c r="V112" s="39"/>
    </row>
    <row r="113" spans="2:22" ht="12.75" x14ac:dyDescent="0.2">
      <c r="B113" s="32"/>
      <c r="D113" s="59"/>
      <c r="E113" s="59"/>
      <c r="G113" s="39"/>
      <c r="H113" s="35"/>
      <c r="I113" s="60"/>
      <c r="J113" s="61"/>
      <c r="L113" s="37"/>
      <c r="P113" s="39"/>
      <c r="Q113" s="39"/>
      <c r="R113" s="33"/>
      <c r="S113" s="39"/>
      <c r="T113" s="39"/>
      <c r="U113" s="39"/>
      <c r="V113" s="39"/>
    </row>
    <row r="114" spans="2:22" ht="12.75" x14ac:dyDescent="0.2">
      <c r="B114" s="32"/>
      <c r="D114" s="59"/>
      <c r="E114" s="59"/>
      <c r="G114" s="39"/>
      <c r="H114" s="35"/>
      <c r="I114" s="60"/>
      <c r="J114" s="61"/>
      <c r="L114" s="37"/>
      <c r="P114" s="39"/>
      <c r="Q114" s="39"/>
      <c r="R114" s="33"/>
      <c r="S114" s="39"/>
      <c r="T114" s="39"/>
      <c r="U114" s="39"/>
      <c r="V114" s="39"/>
    </row>
    <row r="115" spans="2:22" ht="12.75" x14ac:dyDescent="0.2">
      <c r="B115" s="32"/>
      <c r="D115" s="59"/>
      <c r="E115" s="59"/>
      <c r="G115" s="39"/>
      <c r="H115" s="35"/>
      <c r="I115" s="60"/>
      <c r="J115" s="61"/>
      <c r="L115" s="37"/>
      <c r="P115" s="39"/>
      <c r="Q115" s="39"/>
      <c r="R115" s="33"/>
      <c r="S115" s="39"/>
      <c r="T115" s="39"/>
      <c r="U115" s="39"/>
      <c r="V115" s="39"/>
    </row>
    <row r="116" spans="2:22" ht="12.75" x14ac:dyDescent="0.2">
      <c r="B116" s="32"/>
      <c r="D116" s="59"/>
      <c r="E116" s="59"/>
      <c r="G116" s="39"/>
      <c r="H116" s="35"/>
      <c r="I116" s="60"/>
      <c r="J116" s="61"/>
      <c r="L116" s="37"/>
      <c r="P116" s="39"/>
      <c r="Q116" s="39"/>
      <c r="R116" s="33"/>
      <c r="S116" s="39"/>
      <c r="T116" s="39"/>
      <c r="U116" s="39"/>
      <c r="V116" s="39"/>
    </row>
    <row r="117" spans="2:22" ht="12.75" x14ac:dyDescent="0.2">
      <c r="B117" s="32"/>
      <c r="D117" s="59"/>
      <c r="E117" s="59"/>
      <c r="G117" s="39"/>
      <c r="H117" s="35"/>
      <c r="I117" s="60"/>
      <c r="J117" s="61"/>
      <c r="L117" s="37"/>
      <c r="P117" s="39"/>
      <c r="Q117" s="39"/>
      <c r="R117" s="33"/>
      <c r="S117" s="39"/>
      <c r="T117" s="39"/>
      <c r="U117" s="39"/>
      <c r="V117" s="39"/>
    </row>
    <row r="118" spans="2:22" ht="12.75" x14ac:dyDescent="0.2">
      <c r="B118" s="32"/>
      <c r="D118" s="59"/>
      <c r="E118" s="59"/>
      <c r="G118" s="39"/>
      <c r="H118" s="35"/>
      <c r="I118" s="60"/>
      <c r="J118" s="61"/>
      <c r="L118" s="37"/>
      <c r="P118" s="39"/>
      <c r="Q118" s="39"/>
      <c r="R118" s="33"/>
      <c r="S118" s="39"/>
      <c r="T118" s="39"/>
      <c r="U118" s="39"/>
      <c r="V118" s="39"/>
    </row>
    <row r="119" spans="2:22" ht="12.75" x14ac:dyDescent="0.2">
      <c r="B119" s="32"/>
      <c r="D119" s="59"/>
      <c r="E119" s="59"/>
      <c r="G119" s="39"/>
      <c r="H119" s="35"/>
      <c r="I119" s="60"/>
      <c r="J119" s="61"/>
      <c r="L119" s="37"/>
      <c r="P119" s="39"/>
      <c r="Q119" s="39"/>
      <c r="R119" s="33"/>
      <c r="S119" s="39"/>
      <c r="T119" s="39"/>
      <c r="U119" s="39"/>
      <c r="V119" s="39"/>
    </row>
    <row r="120" spans="2:22" ht="12.75" x14ac:dyDescent="0.2">
      <c r="B120" s="32"/>
      <c r="D120" s="59"/>
      <c r="E120" s="59"/>
      <c r="G120" s="39"/>
      <c r="H120" s="35"/>
      <c r="I120" s="60"/>
      <c r="J120" s="61"/>
      <c r="L120" s="37"/>
      <c r="P120" s="39"/>
      <c r="Q120" s="39"/>
      <c r="R120" s="33"/>
      <c r="S120" s="39"/>
      <c r="T120" s="39"/>
      <c r="U120" s="39"/>
      <c r="V120" s="39"/>
    </row>
    <row r="121" spans="2:22" ht="12.75" x14ac:dyDescent="0.2">
      <c r="B121" s="32"/>
      <c r="D121" s="59"/>
      <c r="E121" s="59"/>
      <c r="G121" s="39"/>
      <c r="H121" s="35"/>
      <c r="I121" s="60"/>
      <c r="J121" s="61"/>
      <c r="L121" s="37"/>
      <c r="P121" s="39"/>
      <c r="Q121" s="39"/>
      <c r="R121" s="33"/>
      <c r="S121" s="39"/>
      <c r="T121" s="39"/>
      <c r="U121" s="39"/>
      <c r="V121" s="39"/>
    </row>
    <row r="122" spans="2:22" ht="12.75" x14ac:dyDescent="0.2">
      <c r="B122" s="32"/>
      <c r="D122" s="59"/>
      <c r="E122" s="59"/>
      <c r="G122" s="39"/>
      <c r="H122" s="35"/>
      <c r="I122" s="60"/>
      <c r="J122" s="61"/>
      <c r="L122" s="37"/>
      <c r="P122" s="39"/>
      <c r="Q122" s="39"/>
      <c r="R122" s="33"/>
      <c r="S122" s="39"/>
      <c r="T122" s="39"/>
      <c r="U122" s="39"/>
      <c r="V122" s="39"/>
    </row>
    <row r="123" spans="2:22" ht="12.75" x14ac:dyDescent="0.2">
      <c r="B123" s="32"/>
      <c r="D123" s="59"/>
      <c r="E123" s="59"/>
      <c r="G123" s="39"/>
      <c r="H123" s="35"/>
      <c r="I123" s="60"/>
      <c r="J123" s="61"/>
      <c r="L123" s="37"/>
      <c r="P123" s="39"/>
      <c r="Q123" s="39"/>
      <c r="R123" s="33"/>
      <c r="S123" s="39"/>
      <c r="T123" s="39"/>
      <c r="U123" s="39"/>
      <c r="V123" s="39"/>
    </row>
    <row r="124" spans="2:22" ht="12.75" x14ac:dyDescent="0.2">
      <c r="B124" s="32"/>
      <c r="D124" s="59"/>
      <c r="E124" s="59"/>
      <c r="G124" s="39"/>
      <c r="H124" s="35"/>
      <c r="I124" s="60"/>
      <c r="J124" s="61"/>
      <c r="L124" s="37"/>
      <c r="P124" s="39"/>
      <c r="Q124" s="39"/>
      <c r="R124" s="33"/>
      <c r="S124" s="39"/>
      <c r="T124" s="39"/>
      <c r="U124" s="39"/>
      <c r="V124" s="39"/>
    </row>
    <row r="125" spans="2:22" ht="12.75" x14ac:dyDescent="0.2">
      <c r="B125" s="32"/>
      <c r="D125" s="59"/>
      <c r="E125" s="59"/>
      <c r="G125" s="39"/>
      <c r="H125" s="35"/>
      <c r="I125" s="60"/>
      <c r="J125" s="61"/>
      <c r="L125" s="37"/>
      <c r="P125" s="39"/>
      <c r="Q125" s="39"/>
      <c r="R125" s="33"/>
      <c r="S125" s="39"/>
      <c r="T125" s="39"/>
      <c r="U125" s="39"/>
      <c r="V125" s="39"/>
    </row>
    <row r="126" spans="2:22" ht="12.75" x14ac:dyDescent="0.2">
      <c r="B126" s="32"/>
      <c r="D126" s="59"/>
      <c r="E126" s="59"/>
      <c r="G126" s="39"/>
      <c r="H126" s="35"/>
      <c r="I126" s="60"/>
      <c r="J126" s="61"/>
      <c r="L126" s="37"/>
      <c r="P126" s="39"/>
      <c r="Q126" s="39"/>
      <c r="R126" s="33"/>
      <c r="S126" s="39"/>
      <c r="T126" s="39"/>
      <c r="U126" s="39"/>
      <c r="V126" s="39"/>
    </row>
    <row r="127" spans="2:22" ht="12.75" x14ac:dyDescent="0.2">
      <c r="B127" s="32"/>
      <c r="D127" s="59"/>
      <c r="E127" s="59"/>
      <c r="G127" s="39"/>
      <c r="H127" s="35"/>
      <c r="I127" s="60"/>
      <c r="J127" s="61"/>
      <c r="L127" s="37"/>
      <c r="P127" s="39"/>
      <c r="Q127" s="39"/>
      <c r="R127" s="33"/>
      <c r="S127" s="39"/>
      <c r="T127" s="39"/>
      <c r="U127" s="39"/>
      <c r="V127" s="39"/>
    </row>
    <row r="128" spans="2:22" ht="12.75" x14ac:dyDescent="0.2">
      <c r="B128" s="32"/>
      <c r="D128" s="59"/>
      <c r="E128" s="59"/>
      <c r="G128" s="39"/>
      <c r="H128" s="35"/>
      <c r="I128" s="60"/>
      <c r="J128" s="61"/>
      <c r="L128" s="37"/>
      <c r="P128" s="39"/>
      <c r="Q128" s="39"/>
      <c r="R128" s="33"/>
      <c r="S128" s="39"/>
      <c r="T128" s="39"/>
      <c r="U128" s="39"/>
      <c r="V128" s="39"/>
    </row>
    <row r="129" spans="2:22" ht="12.75" x14ac:dyDescent="0.2">
      <c r="B129" s="32"/>
      <c r="D129" s="59"/>
      <c r="E129" s="59"/>
      <c r="G129" s="39"/>
      <c r="H129" s="35"/>
      <c r="I129" s="60"/>
      <c r="J129" s="61"/>
      <c r="L129" s="37"/>
      <c r="P129" s="39"/>
      <c r="Q129" s="39"/>
      <c r="R129" s="33"/>
      <c r="S129" s="39"/>
      <c r="T129" s="39"/>
      <c r="U129" s="39"/>
      <c r="V129" s="39"/>
    </row>
    <row r="130" spans="2:22" ht="12.75" x14ac:dyDescent="0.2">
      <c r="B130" s="32"/>
      <c r="D130" s="59"/>
      <c r="E130" s="59"/>
      <c r="G130" s="39"/>
      <c r="H130" s="35"/>
      <c r="I130" s="60"/>
      <c r="J130" s="61"/>
      <c r="L130" s="37"/>
      <c r="P130" s="39"/>
      <c r="Q130" s="39"/>
      <c r="R130" s="33"/>
      <c r="S130" s="39"/>
      <c r="T130" s="39"/>
      <c r="U130" s="39"/>
      <c r="V130" s="39"/>
    </row>
    <row r="131" spans="2:22" ht="12.75" x14ac:dyDescent="0.2">
      <c r="B131" s="32"/>
      <c r="D131" s="59"/>
      <c r="E131" s="59"/>
      <c r="G131" s="39"/>
      <c r="H131" s="35"/>
      <c r="I131" s="60"/>
      <c r="J131" s="61"/>
      <c r="L131" s="37"/>
      <c r="P131" s="39"/>
      <c r="Q131" s="39"/>
      <c r="R131" s="33"/>
      <c r="S131" s="39"/>
      <c r="T131" s="39"/>
      <c r="U131" s="39"/>
      <c r="V131" s="39"/>
    </row>
    <row r="132" spans="2:22" ht="12.75" x14ac:dyDescent="0.2">
      <c r="B132" s="32"/>
      <c r="D132" s="59"/>
      <c r="E132" s="59"/>
      <c r="G132" s="39"/>
      <c r="H132" s="35"/>
      <c r="I132" s="60"/>
      <c r="J132" s="61"/>
      <c r="L132" s="37"/>
      <c r="P132" s="39"/>
      <c r="Q132" s="39"/>
      <c r="R132" s="33"/>
      <c r="S132" s="39"/>
      <c r="T132" s="39"/>
      <c r="U132" s="39"/>
      <c r="V132" s="39"/>
    </row>
    <row r="133" spans="2:22" ht="12.75" x14ac:dyDescent="0.2">
      <c r="B133" s="32"/>
      <c r="D133" s="59"/>
      <c r="E133" s="59"/>
      <c r="G133" s="39"/>
      <c r="H133" s="35"/>
      <c r="I133" s="60"/>
      <c r="J133" s="61"/>
      <c r="L133" s="37"/>
      <c r="P133" s="39"/>
      <c r="Q133" s="39"/>
      <c r="R133" s="33"/>
      <c r="S133" s="39"/>
      <c r="T133" s="39"/>
      <c r="U133" s="39"/>
      <c r="V133" s="39"/>
    </row>
    <row r="134" spans="2:22" ht="12.75" x14ac:dyDescent="0.2">
      <c r="B134" s="32"/>
      <c r="D134" s="59"/>
      <c r="E134" s="59"/>
      <c r="G134" s="39"/>
      <c r="H134" s="35"/>
      <c r="I134" s="60"/>
      <c r="J134" s="61"/>
      <c r="L134" s="37"/>
      <c r="P134" s="39"/>
      <c r="Q134" s="39"/>
      <c r="R134" s="33"/>
      <c r="S134" s="39"/>
      <c r="T134" s="39"/>
      <c r="U134" s="39"/>
      <c r="V134" s="39"/>
    </row>
    <row r="135" spans="2:22" ht="12.75" x14ac:dyDescent="0.2">
      <c r="B135" s="32"/>
      <c r="D135" s="59"/>
      <c r="E135" s="59"/>
      <c r="G135" s="39"/>
      <c r="H135" s="35"/>
      <c r="I135" s="60"/>
      <c r="J135" s="61"/>
      <c r="L135" s="37"/>
      <c r="P135" s="39"/>
      <c r="Q135" s="39"/>
      <c r="R135" s="33"/>
      <c r="S135" s="39"/>
      <c r="T135" s="39"/>
      <c r="U135" s="39"/>
      <c r="V135" s="39"/>
    </row>
    <row r="136" spans="2:22" ht="12.75" x14ac:dyDescent="0.2">
      <c r="B136" s="32"/>
      <c r="D136" s="59"/>
      <c r="E136" s="59"/>
      <c r="G136" s="39"/>
      <c r="H136" s="35"/>
      <c r="I136" s="60"/>
      <c r="J136" s="61"/>
      <c r="L136" s="37"/>
      <c r="P136" s="39"/>
      <c r="Q136" s="39"/>
      <c r="R136" s="33"/>
      <c r="S136" s="39"/>
      <c r="T136" s="39"/>
      <c r="U136" s="39"/>
      <c r="V136" s="39"/>
    </row>
    <row r="137" spans="2:22" ht="12.75" x14ac:dyDescent="0.2">
      <c r="B137" s="32"/>
      <c r="D137" s="59"/>
      <c r="E137" s="59"/>
      <c r="G137" s="39"/>
      <c r="H137" s="35"/>
      <c r="I137" s="60"/>
      <c r="J137" s="61"/>
      <c r="L137" s="37"/>
      <c r="P137" s="39"/>
      <c r="Q137" s="39"/>
      <c r="R137" s="33"/>
      <c r="S137" s="39"/>
      <c r="T137" s="39"/>
      <c r="U137" s="39"/>
      <c r="V137" s="39"/>
    </row>
    <row r="138" spans="2:22" ht="12.75" x14ac:dyDescent="0.2">
      <c r="B138" s="32"/>
      <c r="D138" s="59"/>
      <c r="E138" s="59"/>
      <c r="G138" s="39"/>
      <c r="H138" s="35"/>
      <c r="I138" s="60"/>
      <c r="J138" s="61"/>
      <c r="L138" s="37"/>
      <c r="P138" s="39"/>
      <c r="Q138" s="39"/>
      <c r="R138" s="33"/>
      <c r="S138" s="39"/>
      <c r="T138" s="39"/>
      <c r="U138" s="39"/>
      <c r="V138" s="39"/>
    </row>
    <row r="139" spans="2:22" ht="12.75" x14ac:dyDescent="0.2">
      <c r="B139" s="32"/>
      <c r="D139" s="59"/>
      <c r="E139" s="59"/>
      <c r="G139" s="39"/>
      <c r="H139" s="35"/>
      <c r="I139" s="60"/>
      <c r="J139" s="61"/>
      <c r="L139" s="37"/>
      <c r="P139" s="39"/>
      <c r="Q139" s="39"/>
      <c r="R139" s="33"/>
      <c r="S139" s="39"/>
      <c r="T139" s="39"/>
      <c r="U139" s="39"/>
      <c r="V139" s="39"/>
    </row>
    <row r="140" spans="2:22" ht="12.75" x14ac:dyDescent="0.2">
      <c r="B140" s="32"/>
      <c r="D140" s="59"/>
      <c r="E140" s="59"/>
      <c r="G140" s="39"/>
      <c r="H140" s="35"/>
      <c r="I140" s="60"/>
      <c r="J140" s="61"/>
      <c r="L140" s="37"/>
      <c r="P140" s="39"/>
      <c r="Q140" s="39"/>
      <c r="R140" s="33"/>
      <c r="S140" s="39"/>
      <c r="T140" s="39"/>
      <c r="U140" s="39"/>
      <c r="V140" s="39"/>
    </row>
    <row r="141" spans="2:22" ht="12.75" x14ac:dyDescent="0.2">
      <c r="B141" s="32"/>
      <c r="D141" s="59"/>
      <c r="E141" s="59"/>
      <c r="G141" s="39"/>
      <c r="H141" s="35"/>
      <c r="I141" s="60"/>
      <c r="J141" s="61"/>
      <c r="L141" s="37"/>
      <c r="P141" s="39"/>
      <c r="Q141" s="39"/>
      <c r="R141" s="33"/>
      <c r="S141" s="39"/>
      <c r="T141" s="39"/>
      <c r="U141" s="39"/>
      <c r="V141" s="39"/>
    </row>
    <row r="142" spans="2:22" ht="12.75" x14ac:dyDescent="0.2">
      <c r="B142" s="32"/>
      <c r="D142" s="59"/>
      <c r="E142" s="59"/>
      <c r="G142" s="39"/>
      <c r="H142" s="35"/>
      <c r="I142" s="60"/>
      <c r="J142" s="61"/>
      <c r="L142" s="37"/>
      <c r="P142" s="39"/>
      <c r="Q142" s="39"/>
      <c r="R142" s="33"/>
      <c r="S142" s="39"/>
      <c r="T142" s="39"/>
      <c r="U142" s="39"/>
      <c r="V142" s="39"/>
    </row>
    <row r="143" spans="2:22" ht="12.75" x14ac:dyDescent="0.2">
      <c r="B143" s="32"/>
      <c r="D143" s="59"/>
      <c r="E143" s="59"/>
      <c r="G143" s="39"/>
      <c r="H143" s="35"/>
      <c r="I143" s="60"/>
      <c r="J143" s="61"/>
      <c r="L143" s="37"/>
      <c r="P143" s="39"/>
      <c r="Q143" s="39"/>
      <c r="R143" s="33"/>
      <c r="S143" s="39"/>
      <c r="T143" s="39"/>
      <c r="U143" s="39"/>
      <c r="V143" s="39"/>
    </row>
    <row r="144" spans="2:22" ht="12.75" x14ac:dyDescent="0.2">
      <c r="B144" s="32"/>
      <c r="D144" s="59"/>
      <c r="E144" s="59"/>
      <c r="G144" s="39"/>
      <c r="H144" s="35"/>
      <c r="I144" s="60"/>
      <c r="J144" s="61"/>
      <c r="L144" s="37"/>
      <c r="P144" s="39"/>
      <c r="Q144" s="39"/>
      <c r="R144" s="33"/>
      <c r="S144" s="39"/>
      <c r="T144" s="39"/>
      <c r="U144" s="39"/>
      <c r="V144" s="39"/>
    </row>
    <row r="145" spans="2:22" ht="12.75" x14ac:dyDescent="0.2">
      <c r="B145" s="32"/>
      <c r="D145" s="59"/>
      <c r="E145" s="59"/>
      <c r="G145" s="39"/>
      <c r="H145" s="35"/>
      <c r="I145" s="60"/>
      <c r="J145" s="61"/>
      <c r="L145" s="37"/>
      <c r="P145" s="39"/>
      <c r="Q145" s="39"/>
      <c r="R145" s="33"/>
      <c r="S145" s="39"/>
      <c r="T145" s="39"/>
      <c r="U145" s="39"/>
      <c r="V145" s="39"/>
    </row>
    <row r="146" spans="2:22" ht="12.75" x14ac:dyDescent="0.2">
      <c r="B146" s="32"/>
      <c r="D146" s="59"/>
      <c r="E146" s="59"/>
      <c r="G146" s="39"/>
      <c r="H146" s="35"/>
      <c r="I146" s="60"/>
      <c r="J146" s="61"/>
      <c r="L146" s="37"/>
      <c r="P146" s="39"/>
      <c r="Q146" s="39"/>
      <c r="R146" s="33"/>
      <c r="S146" s="39"/>
      <c r="T146" s="39"/>
      <c r="U146" s="39"/>
      <c r="V146" s="39"/>
    </row>
    <row r="147" spans="2:22" ht="12.75" x14ac:dyDescent="0.2">
      <c r="B147" s="32"/>
      <c r="D147" s="59"/>
      <c r="E147" s="59"/>
      <c r="G147" s="39"/>
      <c r="H147" s="35"/>
      <c r="I147" s="60"/>
      <c r="J147" s="61"/>
      <c r="L147" s="37"/>
      <c r="P147" s="39"/>
      <c r="Q147" s="39"/>
      <c r="R147" s="33"/>
      <c r="S147" s="39"/>
      <c r="T147" s="39"/>
      <c r="U147" s="39"/>
      <c r="V147" s="39"/>
    </row>
    <row r="148" spans="2:22" ht="12.75" x14ac:dyDescent="0.2">
      <c r="B148" s="32"/>
      <c r="D148" s="59"/>
      <c r="E148" s="59"/>
      <c r="G148" s="39"/>
      <c r="H148" s="35"/>
      <c r="I148" s="60"/>
      <c r="J148" s="61"/>
      <c r="L148" s="37"/>
      <c r="P148" s="39"/>
      <c r="Q148" s="39"/>
      <c r="R148" s="33"/>
      <c r="S148" s="39"/>
      <c r="T148" s="39"/>
      <c r="U148" s="39"/>
      <c r="V148" s="39"/>
    </row>
    <row r="149" spans="2:22" ht="12.75" x14ac:dyDescent="0.2">
      <c r="B149" s="32"/>
      <c r="D149" s="59"/>
      <c r="E149" s="59"/>
      <c r="G149" s="39"/>
      <c r="H149" s="35"/>
      <c r="I149" s="60"/>
      <c r="J149" s="61"/>
      <c r="L149" s="37"/>
      <c r="P149" s="39"/>
      <c r="Q149" s="39"/>
      <c r="R149" s="33"/>
      <c r="S149" s="39"/>
      <c r="T149" s="39"/>
      <c r="U149" s="39"/>
      <c r="V149" s="39"/>
    </row>
    <row r="150" spans="2:22" ht="12.75" x14ac:dyDescent="0.2">
      <c r="B150" s="32"/>
      <c r="D150" s="59"/>
      <c r="E150" s="59"/>
      <c r="G150" s="39"/>
      <c r="H150" s="35"/>
      <c r="I150" s="60"/>
      <c r="J150" s="61"/>
      <c r="L150" s="37"/>
      <c r="P150" s="39"/>
      <c r="Q150" s="39"/>
      <c r="R150" s="33"/>
      <c r="S150" s="39"/>
      <c r="T150" s="39"/>
      <c r="U150" s="39"/>
      <c r="V150" s="39"/>
    </row>
    <row r="151" spans="2:22" ht="12.75" x14ac:dyDescent="0.2">
      <c r="B151" s="32"/>
      <c r="D151" s="59"/>
      <c r="E151" s="59"/>
      <c r="G151" s="39"/>
      <c r="H151" s="35"/>
      <c r="I151" s="60"/>
      <c r="J151" s="61"/>
      <c r="L151" s="37"/>
      <c r="P151" s="39"/>
      <c r="Q151" s="39"/>
      <c r="R151" s="33"/>
      <c r="S151" s="39"/>
      <c r="T151" s="39"/>
      <c r="U151" s="39"/>
      <c r="V151" s="39"/>
    </row>
    <row r="152" spans="2:22" ht="12.75" x14ac:dyDescent="0.2">
      <c r="B152" s="32"/>
      <c r="D152" s="59"/>
      <c r="E152" s="59"/>
      <c r="G152" s="39"/>
      <c r="H152" s="35"/>
      <c r="I152" s="60"/>
      <c r="J152" s="61"/>
      <c r="L152" s="37"/>
      <c r="P152" s="39"/>
      <c r="Q152" s="39"/>
      <c r="R152" s="33"/>
      <c r="S152" s="39"/>
      <c r="T152" s="39"/>
      <c r="U152" s="39"/>
      <c r="V152" s="39"/>
    </row>
    <row r="153" spans="2:22" ht="12.75" x14ac:dyDescent="0.2">
      <c r="B153" s="32"/>
      <c r="D153" s="59"/>
      <c r="E153" s="59"/>
      <c r="G153" s="39"/>
      <c r="H153" s="35"/>
      <c r="I153" s="60"/>
      <c r="J153" s="61"/>
      <c r="L153" s="37"/>
      <c r="P153" s="39"/>
      <c r="Q153" s="39"/>
      <c r="R153" s="33"/>
      <c r="S153" s="39"/>
      <c r="T153" s="39"/>
      <c r="U153" s="39"/>
      <c r="V153" s="39"/>
    </row>
    <row r="154" spans="2:22" ht="12.75" x14ac:dyDescent="0.2">
      <c r="B154" s="32"/>
      <c r="D154" s="59"/>
      <c r="E154" s="59"/>
      <c r="G154" s="39"/>
      <c r="H154" s="35"/>
      <c r="I154" s="60"/>
      <c r="J154" s="61"/>
      <c r="L154" s="37"/>
      <c r="P154" s="39"/>
      <c r="Q154" s="39"/>
      <c r="R154" s="33"/>
      <c r="S154" s="39"/>
      <c r="T154" s="39"/>
      <c r="U154" s="39"/>
      <c r="V154" s="39"/>
    </row>
    <row r="155" spans="2:22" ht="12.75" x14ac:dyDescent="0.2">
      <c r="B155" s="32"/>
      <c r="D155" s="59"/>
      <c r="E155" s="59"/>
      <c r="G155" s="39"/>
      <c r="H155" s="35"/>
      <c r="I155" s="60"/>
      <c r="J155" s="61"/>
      <c r="L155" s="37"/>
      <c r="P155" s="39"/>
      <c r="Q155" s="39"/>
      <c r="R155" s="33"/>
      <c r="S155" s="39"/>
      <c r="T155" s="39"/>
      <c r="U155" s="39"/>
      <c r="V155" s="39"/>
    </row>
    <row r="156" spans="2:22" ht="12.75" x14ac:dyDescent="0.2">
      <c r="B156" s="32"/>
      <c r="D156" s="59"/>
      <c r="E156" s="59"/>
      <c r="G156" s="39"/>
      <c r="H156" s="35"/>
      <c r="I156" s="60"/>
      <c r="J156" s="61"/>
      <c r="L156" s="37"/>
      <c r="P156" s="39"/>
      <c r="Q156" s="39"/>
      <c r="R156" s="33"/>
      <c r="S156" s="39"/>
      <c r="T156" s="39"/>
      <c r="U156" s="39"/>
      <c r="V156" s="39"/>
    </row>
    <row r="157" spans="2:22" ht="12.75" x14ac:dyDescent="0.2">
      <c r="B157" s="32"/>
      <c r="D157" s="59"/>
      <c r="E157" s="59"/>
      <c r="G157" s="39"/>
      <c r="H157" s="35"/>
      <c r="I157" s="60"/>
      <c r="J157" s="61"/>
      <c r="L157" s="37"/>
      <c r="P157" s="39"/>
      <c r="Q157" s="39"/>
      <c r="R157" s="33"/>
      <c r="S157" s="39"/>
      <c r="T157" s="39"/>
      <c r="U157" s="39"/>
      <c r="V157" s="39"/>
    </row>
    <row r="158" spans="2:22" ht="12.75" x14ac:dyDescent="0.2">
      <c r="B158" s="32"/>
      <c r="D158" s="59"/>
      <c r="E158" s="59"/>
      <c r="G158" s="39"/>
      <c r="H158" s="35"/>
      <c r="I158" s="60"/>
      <c r="J158" s="61"/>
      <c r="L158" s="37"/>
      <c r="P158" s="39"/>
      <c r="Q158" s="39"/>
      <c r="R158" s="33"/>
      <c r="S158" s="39"/>
      <c r="T158" s="39"/>
      <c r="U158" s="39"/>
      <c r="V158" s="39"/>
    </row>
    <row r="159" spans="2:22" ht="12.75" x14ac:dyDescent="0.2">
      <c r="B159" s="32"/>
      <c r="D159" s="59"/>
      <c r="E159" s="59"/>
      <c r="G159" s="39"/>
      <c r="H159" s="35"/>
      <c r="I159" s="60"/>
      <c r="J159" s="61"/>
      <c r="L159" s="37"/>
      <c r="P159" s="39"/>
      <c r="Q159" s="39"/>
      <c r="R159" s="33"/>
      <c r="S159" s="39"/>
      <c r="T159" s="39"/>
      <c r="U159" s="39"/>
      <c r="V159" s="39"/>
    </row>
    <row r="160" spans="2:22" ht="12.75" x14ac:dyDescent="0.2">
      <c r="B160" s="32"/>
      <c r="D160" s="59"/>
      <c r="E160" s="59"/>
      <c r="G160" s="39"/>
      <c r="H160" s="35"/>
      <c r="I160" s="60"/>
      <c r="J160" s="61"/>
      <c r="L160" s="37"/>
      <c r="P160" s="39"/>
      <c r="Q160" s="39"/>
      <c r="R160" s="33"/>
      <c r="S160" s="39"/>
      <c r="T160" s="39"/>
      <c r="U160" s="39"/>
      <c r="V160" s="39"/>
    </row>
    <row r="161" spans="2:22" ht="12.75" x14ac:dyDescent="0.2">
      <c r="B161" s="32"/>
      <c r="D161" s="59"/>
      <c r="E161" s="59"/>
      <c r="G161" s="39"/>
      <c r="H161" s="35"/>
      <c r="I161" s="60"/>
      <c r="J161" s="61"/>
      <c r="L161" s="37"/>
      <c r="P161" s="39"/>
      <c r="Q161" s="39"/>
      <c r="R161" s="33"/>
      <c r="S161" s="39"/>
      <c r="T161" s="39"/>
      <c r="U161" s="39"/>
      <c r="V161" s="39"/>
    </row>
    <row r="162" spans="2:22" ht="12.75" x14ac:dyDescent="0.2">
      <c r="B162" s="32"/>
      <c r="D162" s="59"/>
      <c r="E162" s="59"/>
      <c r="G162" s="39"/>
      <c r="H162" s="35"/>
      <c r="I162" s="60"/>
      <c r="J162" s="61"/>
      <c r="L162" s="37"/>
      <c r="P162" s="39"/>
      <c r="Q162" s="39"/>
      <c r="R162" s="33"/>
      <c r="S162" s="39"/>
      <c r="T162" s="39"/>
      <c r="U162" s="39"/>
      <c r="V162" s="39"/>
    </row>
    <row r="163" spans="2:22" ht="12.75" x14ac:dyDescent="0.2">
      <c r="B163" s="32"/>
      <c r="D163" s="59"/>
      <c r="E163" s="59"/>
      <c r="G163" s="39"/>
      <c r="H163" s="35"/>
      <c r="I163" s="60"/>
      <c r="J163" s="61"/>
      <c r="L163" s="37"/>
      <c r="P163" s="39"/>
      <c r="Q163" s="39"/>
      <c r="R163" s="33"/>
      <c r="S163" s="39"/>
      <c r="T163" s="39"/>
      <c r="U163" s="39"/>
      <c r="V163" s="39"/>
    </row>
    <row r="164" spans="2:22" ht="12.75" x14ac:dyDescent="0.2">
      <c r="B164" s="32"/>
      <c r="D164" s="59"/>
      <c r="E164" s="59"/>
      <c r="G164" s="39"/>
      <c r="H164" s="35"/>
      <c r="I164" s="60"/>
      <c r="J164" s="61"/>
      <c r="L164" s="37"/>
      <c r="P164" s="39"/>
      <c r="Q164" s="39"/>
      <c r="R164" s="33"/>
      <c r="S164" s="39"/>
      <c r="T164" s="39"/>
      <c r="U164" s="39"/>
      <c r="V164" s="39"/>
    </row>
    <row r="165" spans="2:22" ht="12.75" x14ac:dyDescent="0.2">
      <c r="B165" s="32"/>
      <c r="D165" s="59"/>
      <c r="E165" s="59"/>
      <c r="G165" s="39"/>
      <c r="H165" s="35"/>
      <c r="I165" s="60"/>
      <c r="J165" s="61"/>
      <c r="L165" s="37"/>
      <c r="P165" s="39"/>
      <c r="Q165" s="39"/>
      <c r="R165" s="33"/>
      <c r="S165" s="39"/>
      <c r="T165" s="39"/>
      <c r="U165" s="39"/>
      <c r="V165" s="39"/>
    </row>
    <row r="166" spans="2:22" ht="12.75" x14ac:dyDescent="0.2">
      <c r="B166" s="32"/>
      <c r="D166" s="59"/>
      <c r="E166" s="59"/>
      <c r="G166" s="39"/>
      <c r="H166" s="35"/>
      <c r="I166" s="60"/>
      <c r="J166" s="61"/>
      <c r="L166" s="37"/>
      <c r="P166" s="39"/>
      <c r="Q166" s="39"/>
      <c r="R166" s="33"/>
      <c r="S166" s="39"/>
      <c r="T166" s="39"/>
      <c r="U166" s="39"/>
      <c r="V166" s="39"/>
    </row>
    <row r="167" spans="2:22" ht="12.75" x14ac:dyDescent="0.2">
      <c r="B167" s="32"/>
      <c r="D167" s="59"/>
      <c r="E167" s="59"/>
      <c r="G167" s="39"/>
      <c r="H167" s="35"/>
      <c r="I167" s="60"/>
      <c r="J167" s="61"/>
      <c r="L167" s="37"/>
      <c r="P167" s="39"/>
      <c r="Q167" s="39"/>
      <c r="R167" s="33"/>
      <c r="S167" s="39"/>
      <c r="T167" s="39"/>
      <c r="U167" s="39"/>
      <c r="V167" s="39"/>
    </row>
    <row r="168" spans="2:22" ht="12.75" x14ac:dyDescent="0.2">
      <c r="B168" s="32"/>
      <c r="D168" s="59"/>
      <c r="E168" s="59"/>
      <c r="G168" s="39"/>
      <c r="H168" s="35"/>
      <c r="I168" s="60"/>
      <c r="J168" s="61"/>
      <c r="L168" s="37"/>
      <c r="P168" s="39"/>
      <c r="Q168" s="39"/>
      <c r="R168" s="33"/>
      <c r="S168" s="39"/>
      <c r="T168" s="39"/>
      <c r="U168" s="39"/>
      <c r="V168" s="39"/>
    </row>
    <row r="169" spans="2:22" ht="12.75" x14ac:dyDescent="0.2">
      <c r="B169" s="32"/>
      <c r="D169" s="59"/>
      <c r="E169" s="59"/>
      <c r="G169" s="39"/>
      <c r="H169" s="35"/>
      <c r="I169" s="60"/>
      <c r="J169" s="61"/>
      <c r="L169" s="37"/>
      <c r="P169" s="39"/>
      <c r="Q169" s="39"/>
      <c r="R169" s="33"/>
      <c r="S169" s="39"/>
      <c r="T169" s="39"/>
      <c r="U169" s="39"/>
      <c r="V169" s="39"/>
    </row>
    <row r="170" spans="2:22" ht="12.75" x14ac:dyDescent="0.2">
      <c r="B170" s="32"/>
      <c r="D170" s="59"/>
      <c r="E170" s="59"/>
      <c r="G170" s="39"/>
      <c r="H170" s="35"/>
      <c r="I170" s="60"/>
      <c r="J170" s="61"/>
      <c r="L170" s="37"/>
      <c r="P170" s="39"/>
      <c r="Q170" s="39"/>
      <c r="R170" s="33"/>
      <c r="S170" s="39"/>
      <c r="T170" s="39"/>
      <c r="U170" s="39"/>
      <c r="V170" s="39"/>
    </row>
    <row r="171" spans="2:22" ht="12.75" x14ac:dyDescent="0.2">
      <c r="B171" s="32"/>
      <c r="D171" s="59"/>
      <c r="E171" s="59"/>
      <c r="G171" s="39"/>
      <c r="H171" s="35"/>
      <c r="I171" s="60"/>
      <c r="J171" s="61"/>
      <c r="L171" s="37"/>
      <c r="P171" s="39"/>
      <c r="Q171" s="39"/>
      <c r="R171" s="33"/>
      <c r="S171" s="39"/>
      <c r="T171" s="39"/>
      <c r="U171" s="39"/>
      <c r="V171" s="39"/>
    </row>
    <row r="172" spans="2:22" ht="12.75" x14ac:dyDescent="0.2">
      <c r="B172" s="32"/>
      <c r="D172" s="59"/>
      <c r="E172" s="59"/>
      <c r="G172" s="39"/>
      <c r="H172" s="35"/>
      <c r="I172" s="60"/>
      <c r="J172" s="61"/>
      <c r="L172" s="37"/>
      <c r="P172" s="39"/>
      <c r="Q172" s="39"/>
      <c r="R172" s="33"/>
      <c r="S172" s="39"/>
      <c r="T172" s="39"/>
      <c r="U172" s="39"/>
      <c r="V172" s="39"/>
    </row>
    <row r="173" spans="2:22" ht="12.75" x14ac:dyDescent="0.2">
      <c r="B173" s="32"/>
      <c r="D173" s="59"/>
      <c r="E173" s="59"/>
      <c r="G173" s="39"/>
      <c r="H173" s="35"/>
      <c r="I173" s="60"/>
      <c r="J173" s="61"/>
      <c r="L173" s="37"/>
      <c r="P173" s="39"/>
      <c r="Q173" s="39"/>
      <c r="R173" s="33"/>
      <c r="S173" s="39"/>
      <c r="T173" s="39"/>
      <c r="U173" s="39"/>
      <c r="V173" s="39"/>
    </row>
    <row r="174" spans="2:22" ht="12.75" x14ac:dyDescent="0.2">
      <c r="B174" s="32"/>
      <c r="D174" s="59"/>
      <c r="E174" s="59"/>
      <c r="G174" s="39"/>
      <c r="H174" s="35"/>
      <c r="I174" s="60"/>
      <c r="J174" s="61"/>
      <c r="L174" s="37"/>
      <c r="P174" s="39"/>
      <c r="Q174" s="39"/>
      <c r="R174" s="33"/>
      <c r="S174" s="39"/>
      <c r="T174" s="39"/>
      <c r="U174" s="39"/>
      <c r="V174" s="39"/>
    </row>
    <row r="175" spans="2:22" ht="12.75" x14ac:dyDescent="0.2">
      <c r="B175" s="32"/>
      <c r="D175" s="59"/>
      <c r="E175" s="59"/>
      <c r="G175" s="39"/>
      <c r="H175" s="35"/>
      <c r="I175" s="60"/>
      <c r="J175" s="61"/>
      <c r="L175" s="37"/>
      <c r="P175" s="39"/>
      <c r="Q175" s="39"/>
      <c r="R175" s="33"/>
      <c r="S175" s="39"/>
      <c r="T175" s="39"/>
      <c r="U175" s="39"/>
      <c r="V175" s="39"/>
    </row>
    <row r="176" spans="2:22" ht="12.75" x14ac:dyDescent="0.2">
      <c r="B176" s="32"/>
      <c r="D176" s="59"/>
      <c r="E176" s="59"/>
      <c r="G176" s="39"/>
      <c r="H176" s="35"/>
      <c r="I176" s="60"/>
      <c r="J176" s="61"/>
      <c r="L176" s="37"/>
      <c r="P176" s="39"/>
      <c r="Q176" s="39"/>
      <c r="R176" s="33"/>
      <c r="S176" s="39"/>
      <c r="T176" s="39"/>
      <c r="U176" s="39"/>
      <c r="V176" s="39"/>
    </row>
    <row r="177" spans="2:22" ht="12.75" x14ac:dyDescent="0.2">
      <c r="B177" s="32"/>
      <c r="D177" s="59"/>
      <c r="E177" s="59"/>
      <c r="G177" s="39"/>
      <c r="H177" s="35"/>
      <c r="I177" s="60"/>
      <c r="J177" s="61"/>
      <c r="L177" s="37"/>
      <c r="P177" s="39"/>
      <c r="Q177" s="39"/>
      <c r="R177" s="33"/>
      <c r="S177" s="39"/>
      <c r="T177" s="39"/>
      <c r="U177" s="39"/>
      <c r="V177" s="39"/>
    </row>
    <row r="178" spans="2:22" ht="12.75" x14ac:dyDescent="0.2">
      <c r="B178" s="32"/>
      <c r="D178" s="59"/>
      <c r="E178" s="59"/>
      <c r="G178" s="39"/>
      <c r="H178" s="35"/>
      <c r="I178" s="60"/>
      <c r="J178" s="61"/>
      <c r="L178" s="37"/>
      <c r="P178" s="39"/>
      <c r="Q178" s="39"/>
      <c r="R178" s="33"/>
      <c r="S178" s="39"/>
      <c r="T178" s="39"/>
      <c r="U178" s="39"/>
      <c r="V178" s="39"/>
    </row>
    <row r="179" spans="2:22" ht="12.75" x14ac:dyDescent="0.2">
      <c r="B179" s="32"/>
      <c r="D179" s="59"/>
      <c r="E179" s="59"/>
      <c r="G179" s="39"/>
      <c r="H179" s="35"/>
      <c r="I179" s="60"/>
      <c r="J179" s="61"/>
      <c r="L179" s="37"/>
      <c r="P179" s="39"/>
      <c r="Q179" s="39"/>
      <c r="R179" s="33"/>
      <c r="S179" s="39"/>
      <c r="T179" s="39"/>
      <c r="U179" s="39"/>
      <c r="V179" s="39"/>
    </row>
    <row r="180" spans="2:22" ht="12.75" x14ac:dyDescent="0.2">
      <c r="B180" s="32"/>
      <c r="D180" s="59"/>
      <c r="E180" s="59"/>
      <c r="G180" s="39"/>
      <c r="H180" s="35"/>
      <c r="I180" s="60"/>
      <c r="J180" s="61"/>
      <c r="L180" s="37"/>
      <c r="P180" s="39"/>
      <c r="Q180" s="39"/>
      <c r="R180" s="33"/>
      <c r="S180" s="39"/>
      <c r="T180" s="39"/>
      <c r="U180" s="39"/>
      <c r="V180" s="39"/>
    </row>
    <row r="181" spans="2:22" ht="12.75" x14ac:dyDescent="0.2">
      <c r="B181" s="32"/>
      <c r="D181" s="59"/>
      <c r="E181" s="59"/>
      <c r="G181" s="39"/>
      <c r="H181" s="35"/>
      <c r="I181" s="60"/>
      <c r="J181" s="61"/>
      <c r="L181" s="37"/>
      <c r="P181" s="39"/>
      <c r="Q181" s="39"/>
      <c r="R181" s="33"/>
      <c r="S181" s="39"/>
      <c r="T181" s="39"/>
      <c r="U181" s="39"/>
      <c r="V181" s="39"/>
    </row>
    <row r="182" spans="2:22" ht="12.75" x14ac:dyDescent="0.2">
      <c r="B182" s="32"/>
      <c r="D182" s="59"/>
      <c r="E182" s="59"/>
      <c r="G182" s="39"/>
      <c r="H182" s="35"/>
      <c r="I182" s="60"/>
      <c r="J182" s="61"/>
      <c r="L182" s="37"/>
      <c r="P182" s="39"/>
      <c r="Q182" s="39"/>
      <c r="R182" s="33"/>
      <c r="S182" s="39"/>
      <c r="T182" s="39"/>
      <c r="U182" s="39"/>
      <c r="V182" s="39"/>
    </row>
    <row r="183" spans="2:22" ht="12.75" x14ac:dyDescent="0.2">
      <c r="B183" s="32"/>
      <c r="D183" s="59"/>
      <c r="E183" s="59"/>
      <c r="G183" s="39"/>
      <c r="H183" s="35"/>
      <c r="I183" s="60"/>
      <c r="J183" s="61"/>
      <c r="L183" s="37"/>
      <c r="P183" s="39"/>
      <c r="Q183" s="39"/>
      <c r="R183" s="33"/>
      <c r="S183" s="39"/>
      <c r="T183" s="39"/>
      <c r="U183" s="39"/>
      <c r="V183" s="39"/>
    </row>
    <row r="184" spans="2:22" ht="12.75" x14ac:dyDescent="0.2">
      <c r="B184" s="32"/>
      <c r="D184" s="59"/>
      <c r="E184" s="59"/>
      <c r="G184" s="39"/>
      <c r="H184" s="35"/>
      <c r="I184" s="60"/>
      <c r="J184" s="61"/>
      <c r="L184" s="37"/>
      <c r="P184" s="39"/>
      <c r="Q184" s="39"/>
      <c r="R184" s="33"/>
      <c r="S184" s="39"/>
      <c r="T184" s="39"/>
      <c r="U184" s="39"/>
      <c r="V184" s="39"/>
    </row>
    <row r="185" spans="2:22" ht="12.75" x14ac:dyDescent="0.2">
      <c r="B185" s="32"/>
      <c r="D185" s="59"/>
      <c r="E185" s="59"/>
      <c r="G185" s="39"/>
      <c r="H185" s="35"/>
      <c r="I185" s="60"/>
      <c r="J185" s="61"/>
      <c r="L185" s="37"/>
      <c r="P185" s="39"/>
      <c r="Q185" s="39"/>
      <c r="R185" s="33"/>
      <c r="S185" s="39"/>
      <c r="T185" s="39"/>
      <c r="U185" s="39"/>
      <c r="V185" s="39"/>
    </row>
    <row r="186" spans="2:22" ht="12.75" x14ac:dyDescent="0.2">
      <c r="B186" s="32"/>
      <c r="D186" s="59"/>
      <c r="E186" s="59"/>
      <c r="G186" s="39"/>
      <c r="H186" s="35"/>
      <c r="I186" s="60"/>
      <c r="J186" s="61"/>
      <c r="L186" s="37"/>
      <c r="P186" s="39"/>
      <c r="Q186" s="39"/>
      <c r="R186" s="33"/>
      <c r="S186" s="39"/>
      <c r="T186" s="39"/>
      <c r="U186" s="39"/>
      <c r="V186" s="39"/>
    </row>
    <row r="187" spans="2:22" ht="12.75" x14ac:dyDescent="0.2">
      <c r="B187" s="32"/>
      <c r="D187" s="59"/>
      <c r="E187" s="59"/>
      <c r="G187" s="39"/>
      <c r="H187" s="35"/>
      <c r="I187" s="60"/>
      <c r="J187" s="61"/>
      <c r="L187" s="37"/>
      <c r="P187" s="39"/>
      <c r="Q187" s="39"/>
      <c r="R187" s="33"/>
      <c r="S187" s="39"/>
      <c r="T187" s="39"/>
      <c r="U187" s="39"/>
      <c r="V187" s="39"/>
    </row>
    <row r="188" spans="2:22" ht="12.75" x14ac:dyDescent="0.2">
      <c r="B188" s="32"/>
      <c r="D188" s="59"/>
      <c r="E188" s="59"/>
      <c r="G188" s="39"/>
      <c r="H188" s="35"/>
      <c r="I188" s="60"/>
      <c r="J188" s="61"/>
      <c r="L188" s="37"/>
      <c r="P188" s="39"/>
      <c r="Q188" s="39"/>
      <c r="R188" s="33"/>
      <c r="S188" s="39"/>
      <c r="T188" s="39"/>
      <c r="U188" s="39"/>
      <c r="V188" s="39"/>
    </row>
    <row r="189" spans="2:22" ht="12.75" x14ac:dyDescent="0.2">
      <c r="B189" s="32"/>
      <c r="D189" s="59"/>
      <c r="E189" s="59"/>
      <c r="G189" s="39"/>
      <c r="H189" s="35"/>
      <c r="I189" s="60"/>
      <c r="J189" s="61"/>
      <c r="L189" s="37"/>
      <c r="P189" s="39"/>
      <c r="Q189" s="39"/>
      <c r="R189" s="33"/>
      <c r="S189" s="39"/>
      <c r="T189" s="39"/>
      <c r="U189" s="39"/>
      <c r="V189" s="39"/>
    </row>
    <row r="190" spans="2:22" ht="12.75" x14ac:dyDescent="0.2">
      <c r="B190" s="32"/>
      <c r="D190" s="59"/>
      <c r="E190" s="59"/>
      <c r="G190" s="39"/>
      <c r="H190" s="35"/>
      <c r="I190" s="60"/>
      <c r="J190" s="61"/>
      <c r="L190" s="37"/>
      <c r="P190" s="39"/>
      <c r="Q190" s="39"/>
      <c r="R190" s="33"/>
      <c r="S190" s="39"/>
      <c r="T190" s="39"/>
      <c r="U190" s="39"/>
      <c r="V190" s="39"/>
    </row>
    <row r="191" spans="2:22" ht="12.75" x14ac:dyDescent="0.2">
      <c r="B191" s="32"/>
      <c r="D191" s="59"/>
      <c r="E191" s="59"/>
      <c r="G191" s="39"/>
      <c r="H191" s="35"/>
      <c r="I191" s="60"/>
      <c r="J191" s="61"/>
      <c r="L191" s="37"/>
      <c r="P191" s="39"/>
      <c r="Q191" s="39"/>
      <c r="R191" s="33"/>
      <c r="S191" s="39"/>
      <c r="T191" s="39"/>
      <c r="U191" s="39"/>
      <c r="V191" s="39"/>
    </row>
    <row r="192" spans="2:22" ht="12.75" x14ac:dyDescent="0.2">
      <c r="B192" s="32"/>
      <c r="D192" s="59"/>
      <c r="E192" s="59"/>
      <c r="G192" s="39"/>
      <c r="H192" s="35"/>
      <c r="I192" s="60"/>
      <c r="J192" s="61"/>
      <c r="L192" s="37"/>
      <c r="P192" s="39"/>
      <c r="Q192" s="39"/>
      <c r="R192" s="33"/>
      <c r="S192" s="39"/>
      <c r="T192" s="39"/>
      <c r="U192" s="39"/>
      <c r="V192" s="39"/>
    </row>
    <row r="193" spans="2:22" ht="12.75" x14ac:dyDescent="0.2">
      <c r="B193" s="32"/>
      <c r="D193" s="59"/>
      <c r="E193" s="59"/>
      <c r="G193" s="39"/>
      <c r="H193" s="35"/>
      <c r="I193" s="60"/>
      <c r="J193" s="61"/>
      <c r="L193" s="37"/>
      <c r="P193" s="39"/>
      <c r="Q193" s="39"/>
      <c r="R193" s="33"/>
      <c r="S193" s="39"/>
      <c r="T193" s="39"/>
      <c r="U193" s="39"/>
      <c r="V193" s="39"/>
    </row>
    <row r="194" spans="2:22" ht="12.75" x14ac:dyDescent="0.2">
      <c r="B194" s="32"/>
      <c r="D194" s="59"/>
      <c r="E194" s="59"/>
      <c r="G194" s="39"/>
      <c r="H194" s="35"/>
      <c r="I194" s="60"/>
      <c r="J194" s="61"/>
      <c r="L194" s="37"/>
      <c r="P194" s="39"/>
      <c r="Q194" s="39"/>
      <c r="R194" s="33"/>
      <c r="S194" s="39"/>
      <c r="T194" s="39"/>
      <c r="U194" s="39"/>
      <c r="V194" s="39"/>
    </row>
    <row r="195" spans="2:22" ht="12.75" x14ac:dyDescent="0.2">
      <c r="B195" s="32"/>
      <c r="D195" s="59"/>
      <c r="E195" s="59"/>
      <c r="G195" s="39"/>
      <c r="H195" s="35"/>
      <c r="I195" s="60"/>
      <c r="J195" s="61"/>
      <c r="L195" s="37"/>
      <c r="P195" s="39"/>
      <c r="Q195" s="39"/>
      <c r="R195" s="33"/>
      <c r="S195" s="39"/>
      <c r="T195" s="39"/>
      <c r="U195" s="39"/>
      <c r="V195" s="39"/>
    </row>
    <row r="196" spans="2:22" ht="12.75" x14ac:dyDescent="0.2">
      <c r="B196" s="32"/>
      <c r="D196" s="59"/>
      <c r="E196" s="59"/>
      <c r="G196" s="39"/>
      <c r="H196" s="35"/>
      <c r="I196" s="60"/>
      <c r="J196" s="61"/>
      <c r="L196" s="37"/>
      <c r="P196" s="39"/>
      <c r="Q196" s="39"/>
      <c r="R196" s="33"/>
      <c r="S196" s="39"/>
      <c r="T196" s="39"/>
      <c r="U196" s="39"/>
      <c r="V196" s="39"/>
    </row>
    <row r="197" spans="2:22" ht="12.75" x14ac:dyDescent="0.2">
      <c r="B197" s="32"/>
      <c r="D197" s="59"/>
      <c r="E197" s="59"/>
      <c r="G197" s="39"/>
      <c r="H197" s="35"/>
      <c r="I197" s="60"/>
      <c r="J197" s="61"/>
      <c r="L197" s="37"/>
      <c r="P197" s="39"/>
      <c r="Q197" s="39"/>
      <c r="R197" s="33"/>
      <c r="S197" s="39"/>
      <c r="T197" s="39"/>
      <c r="U197" s="39"/>
      <c r="V197" s="39"/>
    </row>
    <row r="198" spans="2:22" ht="12.75" x14ac:dyDescent="0.2">
      <c r="B198" s="32"/>
      <c r="D198" s="59"/>
      <c r="E198" s="59"/>
      <c r="G198" s="39"/>
      <c r="H198" s="35"/>
      <c r="I198" s="60"/>
      <c r="J198" s="61"/>
      <c r="L198" s="37"/>
      <c r="P198" s="39"/>
      <c r="Q198" s="39"/>
      <c r="R198" s="33"/>
      <c r="S198" s="39"/>
      <c r="T198" s="39"/>
      <c r="U198" s="39"/>
      <c r="V198" s="39"/>
    </row>
    <row r="199" spans="2:22" ht="12.75" x14ac:dyDescent="0.2">
      <c r="B199" s="32"/>
      <c r="D199" s="59"/>
      <c r="E199" s="59"/>
      <c r="G199" s="39"/>
      <c r="H199" s="35"/>
      <c r="I199" s="60"/>
      <c r="J199" s="61"/>
      <c r="L199" s="37"/>
      <c r="P199" s="39"/>
      <c r="Q199" s="39"/>
      <c r="R199" s="33"/>
      <c r="S199" s="39"/>
      <c r="T199" s="39"/>
      <c r="U199" s="39"/>
      <c r="V199" s="39"/>
    </row>
    <row r="200" spans="2:22" ht="12.75" x14ac:dyDescent="0.2">
      <c r="B200" s="32"/>
      <c r="D200" s="59"/>
      <c r="E200" s="59"/>
      <c r="G200" s="39"/>
      <c r="H200" s="35"/>
      <c r="I200" s="60"/>
      <c r="J200" s="61"/>
      <c r="L200" s="37"/>
      <c r="P200" s="39"/>
      <c r="Q200" s="39"/>
      <c r="R200" s="33"/>
      <c r="S200" s="39"/>
      <c r="T200" s="39"/>
      <c r="U200" s="39"/>
      <c r="V200" s="39"/>
    </row>
    <row r="201" spans="2:22" ht="12.75" x14ac:dyDescent="0.2">
      <c r="B201" s="32"/>
      <c r="D201" s="59"/>
      <c r="E201" s="59"/>
      <c r="G201" s="39"/>
      <c r="H201" s="35"/>
      <c r="I201" s="60"/>
      <c r="J201" s="61"/>
      <c r="L201" s="37"/>
      <c r="P201" s="39"/>
      <c r="Q201" s="39"/>
      <c r="R201" s="33"/>
      <c r="S201" s="39"/>
      <c r="T201" s="39"/>
      <c r="U201" s="39"/>
      <c r="V201" s="39"/>
    </row>
    <row r="202" spans="2:22" ht="12.75" x14ac:dyDescent="0.2">
      <c r="B202" s="32"/>
      <c r="D202" s="59"/>
      <c r="E202" s="59"/>
      <c r="G202" s="39"/>
      <c r="H202" s="35"/>
      <c r="I202" s="60"/>
      <c r="J202" s="61"/>
      <c r="L202" s="37"/>
      <c r="P202" s="39"/>
      <c r="Q202" s="39"/>
      <c r="R202" s="33"/>
      <c r="S202" s="39"/>
      <c r="T202" s="39"/>
      <c r="U202" s="39"/>
      <c r="V202" s="39"/>
    </row>
    <row r="203" spans="2:22" ht="12.75" x14ac:dyDescent="0.2">
      <c r="B203" s="32"/>
      <c r="D203" s="59"/>
      <c r="E203" s="59"/>
      <c r="G203" s="39"/>
      <c r="H203" s="35"/>
      <c r="I203" s="60"/>
      <c r="J203" s="61"/>
      <c r="L203" s="37"/>
      <c r="P203" s="39"/>
      <c r="Q203" s="39"/>
      <c r="R203" s="33"/>
      <c r="S203" s="39"/>
      <c r="T203" s="39"/>
      <c r="U203" s="39"/>
      <c r="V203" s="39"/>
    </row>
    <row r="204" spans="2:22" ht="12.75" x14ac:dyDescent="0.2">
      <c r="B204" s="32"/>
      <c r="D204" s="59"/>
      <c r="E204" s="59"/>
      <c r="G204" s="39"/>
      <c r="H204" s="35"/>
      <c r="I204" s="60"/>
      <c r="J204" s="61"/>
      <c r="L204" s="37"/>
      <c r="P204" s="39"/>
      <c r="Q204" s="39"/>
      <c r="R204" s="33"/>
      <c r="S204" s="39"/>
      <c r="T204" s="39"/>
      <c r="U204" s="39"/>
      <c r="V204" s="39"/>
    </row>
    <row r="205" spans="2:22" ht="12.75" x14ac:dyDescent="0.2">
      <c r="B205" s="32"/>
      <c r="D205" s="59"/>
      <c r="E205" s="59"/>
      <c r="G205" s="39"/>
      <c r="H205" s="35"/>
      <c r="I205" s="60"/>
      <c r="J205" s="61"/>
      <c r="L205" s="37"/>
      <c r="P205" s="39"/>
      <c r="Q205" s="39"/>
      <c r="R205" s="33"/>
      <c r="S205" s="39"/>
      <c r="T205" s="39"/>
      <c r="U205" s="39"/>
      <c r="V205" s="39"/>
    </row>
    <row r="206" spans="2:22" ht="12.75" x14ac:dyDescent="0.2">
      <c r="B206" s="32"/>
      <c r="D206" s="59"/>
      <c r="E206" s="59"/>
      <c r="G206" s="39"/>
      <c r="H206" s="35"/>
      <c r="I206" s="60"/>
      <c r="J206" s="61"/>
      <c r="L206" s="37"/>
      <c r="P206" s="39"/>
      <c r="Q206" s="39"/>
      <c r="R206" s="33"/>
      <c r="S206" s="39"/>
      <c r="T206" s="39"/>
      <c r="U206" s="39"/>
      <c r="V206" s="39"/>
    </row>
    <row r="207" spans="2:22" ht="12.75" x14ac:dyDescent="0.2">
      <c r="B207" s="32"/>
      <c r="D207" s="59"/>
      <c r="E207" s="59"/>
      <c r="G207" s="39"/>
      <c r="H207" s="35"/>
      <c r="I207" s="60"/>
      <c r="J207" s="61"/>
      <c r="L207" s="37"/>
      <c r="P207" s="39"/>
      <c r="Q207" s="39"/>
      <c r="R207" s="33"/>
      <c r="S207" s="39"/>
      <c r="T207" s="39"/>
      <c r="U207" s="39"/>
      <c r="V207" s="39"/>
    </row>
    <row r="208" spans="2:22" ht="12.75" x14ac:dyDescent="0.2">
      <c r="B208" s="32"/>
      <c r="D208" s="59"/>
      <c r="E208" s="59"/>
      <c r="G208" s="39"/>
      <c r="H208" s="35"/>
      <c r="I208" s="60"/>
      <c r="J208" s="61"/>
      <c r="L208" s="37"/>
      <c r="P208" s="39"/>
      <c r="Q208" s="39"/>
      <c r="R208" s="33"/>
      <c r="S208" s="39"/>
      <c r="T208" s="39"/>
      <c r="U208" s="39"/>
      <c r="V208" s="39"/>
    </row>
    <row r="209" spans="2:22" ht="12.75" x14ac:dyDescent="0.2">
      <c r="B209" s="32"/>
      <c r="D209" s="59"/>
      <c r="E209" s="59"/>
      <c r="G209" s="39"/>
      <c r="H209" s="35"/>
      <c r="I209" s="60"/>
      <c r="J209" s="61"/>
      <c r="L209" s="37"/>
      <c r="P209" s="39"/>
      <c r="Q209" s="39"/>
      <c r="R209" s="33"/>
      <c r="S209" s="39"/>
      <c r="T209" s="39"/>
      <c r="U209" s="39"/>
      <c r="V209" s="39"/>
    </row>
    <row r="210" spans="2:22" ht="12.75" x14ac:dyDescent="0.2">
      <c r="B210" s="32"/>
      <c r="D210" s="59"/>
      <c r="E210" s="59"/>
      <c r="G210" s="39"/>
      <c r="H210" s="35"/>
      <c r="I210" s="60"/>
      <c r="J210" s="61"/>
      <c r="L210" s="37"/>
      <c r="P210" s="39"/>
      <c r="Q210" s="39"/>
      <c r="R210" s="33"/>
      <c r="S210" s="39"/>
      <c r="T210" s="39"/>
      <c r="U210" s="39"/>
      <c r="V210" s="39"/>
    </row>
    <row r="211" spans="2:22" ht="12.75" x14ac:dyDescent="0.2">
      <c r="B211" s="32"/>
      <c r="D211" s="59"/>
      <c r="E211" s="59"/>
      <c r="G211" s="39"/>
      <c r="H211" s="35"/>
      <c r="I211" s="60"/>
      <c r="J211" s="61"/>
      <c r="L211" s="37"/>
      <c r="P211" s="39"/>
      <c r="Q211" s="39"/>
      <c r="R211" s="33"/>
      <c r="S211" s="39"/>
      <c r="T211" s="39"/>
      <c r="U211" s="39"/>
      <c r="V211" s="39"/>
    </row>
    <row r="212" spans="2:22" ht="12.75" x14ac:dyDescent="0.2">
      <c r="B212" s="32"/>
      <c r="D212" s="59"/>
      <c r="E212" s="59"/>
      <c r="G212" s="39"/>
      <c r="H212" s="35"/>
      <c r="I212" s="60"/>
      <c r="J212" s="61"/>
      <c r="L212" s="37"/>
      <c r="P212" s="39"/>
      <c r="Q212" s="39"/>
      <c r="R212" s="33"/>
      <c r="S212" s="39"/>
      <c r="T212" s="39"/>
      <c r="U212" s="39"/>
      <c r="V212" s="39"/>
    </row>
    <row r="213" spans="2:22" ht="12.75" x14ac:dyDescent="0.2">
      <c r="B213" s="32"/>
      <c r="D213" s="59"/>
      <c r="E213" s="59"/>
      <c r="G213" s="39"/>
      <c r="H213" s="35"/>
      <c r="I213" s="60"/>
      <c r="J213" s="61"/>
      <c r="L213" s="37"/>
      <c r="P213" s="39"/>
      <c r="Q213" s="39"/>
      <c r="R213" s="33"/>
      <c r="S213" s="39"/>
      <c r="T213" s="39"/>
      <c r="U213" s="39"/>
      <c r="V213" s="39"/>
    </row>
    <row r="214" spans="2:22" ht="12.75" x14ac:dyDescent="0.2">
      <c r="B214" s="32"/>
      <c r="D214" s="59"/>
      <c r="E214" s="59"/>
      <c r="G214" s="39"/>
      <c r="H214" s="35"/>
      <c r="I214" s="60"/>
      <c r="J214" s="61"/>
      <c r="L214" s="37"/>
      <c r="P214" s="39"/>
      <c r="Q214" s="39"/>
      <c r="R214" s="33"/>
      <c r="S214" s="39"/>
      <c r="T214" s="39"/>
      <c r="U214" s="39"/>
      <c r="V214" s="39"/>
    </row>
    <row r="215" spans="2:22" ht="12.75" x14ac:dyDescent="0.2">
      <c r="B215" s="32"/>
      <c r="D215" s="59"/>
      <c r="E215" s="59"/>
      <c r="G215" s="39"/>
      <c r="H215" s="35"/>
      <c r="I215" s="60"/>
      <c r="J215" s="61"/>
      <c r="L215" s="37"/>
      <c r="P215" s="39"/>
      <c r="Q215" s="39"/>
      <c r="R215" s="33"/>
      <c r="S215" s="39"/>
      <c r="T215" s="39"/>
      <c r="U215" s="39"/>
      <c r="V215" s="39"/>
    </row>
    <row r="216" spans="2:22" ht="12.75" x14ac:dyDescent="0.2">
      <c r="B216" s="32"/>
      <c r="D216" s="59"/>
      <c r="E216" s="59"/>
      <c r="G216" s="39"/>
      <c r="H216" s="35"/>
      <c r="I216" s="60"/>
      <c r="J216" s="61"/>
      <c r="L216" s="37"/>
      <c r="P216" s="39"/>
      <c r="Q216" s="39"/>
      <c r="R216" s="33"/>
      <c r="S216" s="39"/>
      <c r="T216" s="39"/>
      <c r="U216" s="39"/>
      <c r="V216" s="39"/>
    </row>
    <row r="217" spans="2:22" ht="12.75" x14ac:dyDescent="0.2">
      <c r="B217" s="32"/>
      <c r="D217" s="59"/>
      <c r="E217" s="59"/>
      <c r="G217" s="39"/>
      <c r="H217" s="35"/>
      <c r="I217" s="60"/>
      <c r="J217" s="61"/>
      <c r="L217" s="37"/>
      <c r="P217" s="39"/>
      <c r="Q217" s="39"/>
      <c r="R217" s="33"/>
      <c r="S217" s="39"/>
      <c r="T217" s="39"/>
      <c r="U217" s="39"/>
      <c r="V217" s="39"/>
    </row>
    <row r="218" spans="2:22" ht="12.75" x14ac:dyDescent="0.2">
      <c r="B218" s="32"/>
      <c r="D218" s="59"/>
      <c r="E218" s="59"/>
      <c r="G218" s="39"/>
      <c r="H218" s="35"/>
      <c r="I218" s="60"/>
      <c r="J218" s="61"/>
      <c r="L218" s="37"/>
      <c r="P218" s="39"/>
      <c r="Q218" s="39"/>
      <c r="R218" s="33"/>
      <c r="S218" s="39"/>
      <c r="T218" s="39"/>
      <c r="U218" s="39"/>
      <c r="V218" s="39"/>
    </row>
    <row r="219" spans="2:22" ht="12.75" x14ac:dyDescent="0.2">
      <c r="B219" s="32"/>
      <c r="D219" s="59"/>
      <c r="E219" s="59"/>
      <c r="G219" s="39"/>
      <c r="H219" s="35"/>
      <c r="I219" s="60"/>
      <c r="J219" s="61"/>
      <c r="L219" s="37"/>
      <c r="P219" s="39"/>
      <c r="Q219" s="39"/>
      <c r="R219" s="33"/>
      <c r="S219" s="39"/>
      <c r="T219" s="39"/>
      <c r="U219" s="39"/>
      <c r="V219" s="39"/>
    </row>
    <row r="220" spans="2:22" ht="12.75" x14ac:dyDescent="0.2">
      <c r="B220" s="32"/>
      <c r="D220" s="59"/>
      <c r="E220" s="59"/>
      <c r="G220" s="39"/>
      <c r="H220" s="35"/>
      <c r="I220" s="60"/>
      <c r="J220" s="61"/>
      <c r="L220" s="37"/>
      <c r="P220" s="39"/>
      <c r="Q220" s="39"/>
      <c r="R220" s="33"/>
      <c r="S220" s="39"/>
      <c r="T220" s="39"/>
      <c r="U220" s="39"/>
      <c r="V220" s="39"/>
    </row>
    <row r="221" spans="2:22" ht="12.75" x14ac:dyDescent="0.2">
      <c r="B221" s="32"/>
      <c r="D221" s="59"/>
      <c r="E221" s="59"/>
      <c r="G221" s="39"/>
      <c r="H221" s="35"/>
      <c r="I221" s="60"/>
      <c r="J221" s="61"/>
      <c r="L221" s="37"/>
      <c r="P221" s="39"/>
      <c r="Q221" s="39"/>
      <c r="R221" s="33"/>
      <c r="S221" s="39"/>
      <c r="T221" s="39"/>
      <c r="U221" s="39"/>
      <c r="V221" s="39"/>
    </row>
    <row r="222" spans="2:22" ht="12.75" x14ac:dyDescent="0.2">
      <c r="B222" s="32"/>
      <c r="D222" s="59"/>
      <c r="E222" s="59"/>
      <c r="G222" s="39"/>
      <c r="H222" s="35"/>
      <c r="I222" s="60"/>
      <c r="J222" s="61"/>
      <c r="L222" s="37"/>
      <c r="P222" s="39"/>
      <c r="Q222" s="39"/>
      <c r="R222" s="33"/>
      <c r="S222" s="39"/>
      <c r="T222" s="39"/>
      <c r="U222" s="39"/>
      <c r="V222" s="39"/>
    </row>
    <row r="223" spans="2:22" ht="12.75" x14ac:dyDescent="0.2">
      <c r="B223" s="32"/>
      <c r="D223" s="59"/>
      <c r="E223" s="59"/>
      <c r="G223" s="39"/>
      <c r="H223" s="35"/>
      <c r="I223" s="60"/>
      <c r="J223" s="61"/>
      <c r="L223" s="37"/>
      <c r="P223" s="39"/>
      <c r="Q223" s="39"/>
      <c r="R223" s="33"/>
      <c r="S223" s="39"/>
      <c r="T223" s="39"/>
      <c r="U223" s="39"/>
      <c r="V223" s="39"/>
    </row>
    <row r="224" spans="2:22" ht="12.75" x14ac:dyDescent="0.2">
      <c r="B224" s="32"/>
      <c r="D224" s="59"/>
      <c r="E224" s="59"/>
      <c r="G224" s="39"/>
      <c r="H224" s="35"/>
      <c r="I224" s="60"/>
      <c r="J224" s="61"/>
      <c r="L224" s="37"/>
      <c r="P224" s="39"/>
      <c r="Q224" s="39"/>
      <c r="R224" s="33"/>
      <c r="S224" s="39"/>
      <c r="T224" s="39"/>
      <c r="U224" s="39"/>
      <c r="V224" s="39"/>
    </row>
    <row r="225" spans="2:22" ht="12.75" x14ac:dyDescent="0.2">
      <c r="B225" s="32"/>
      <c r="D225" s="59"/>
      <c r="E225" s="59"/>
      <c r="G225" s="39"/>
      <c r="H225" s="35"/>
      <c r="I225" s="60"/>
      <c r="J225" s="61"/>
      <c r="L225" s="37"/>
      <c r="P225" s="39"/>
      <c r="Q225" s="39"/>
      <c r="R225" s="33"/>
      <c r="S225" s="39"/>
      <c r="T225" s="39"/>
      <c r="U225" s="39"/>
      <c r="V225" s="39"/>
    </row>
    <row r="226" spans="2:22" ht="12.75" x14ac:dyDescent="0.2">
      <c r="B226" s="32"/>
      <c r="D226" s="59"/>
      <c r="E226" s="59"/>
      <c r="G226" s="39"/>
      <c r="H226" s="35"/>
      <c r="I226" s="60"/>
      <c r="J226" s="61"/>
      <c r="L226" s="37"/>
      <c r="P226" s="39"/>
      <c r="Q226" s="39"/>
      <c r="R226" s="33"/>
      <c r="S226" s="39"/>
      <c r="T226" s="39"/>
      <c r="U226" s="39"/>
      <c r="V226" s="39"/>
    </row>
    <row r="227" spans="2:22" ht="12.75" x14ac:dyDescent="0.2">
      <c r="B227" s="32"/>
      <c r="D227" s="59"/>
      <c r="E227" s="59"/>
      <c r="G227" s="39"/>
      <c r="H227" s="35"/>
      <c r="I227" s="60"/>
      <c r="J227" s="61"/>
      <c r="L227" s="37"/>
      <c r="P227" s="39"/>
      <c r="Q227" s="39"/>
      <c r="R227" s="33"/>
      <c r="S227" s="39"/>
      <c r="T227" s="39"/>
      <c r="U227" s="39"/>
      <c r="V227" s="39"/>
    </row>
    <row r="228" spans="2:22" ht="12.75" x14ac:dyDescent="0.2">
      <c r="B228" s="32"/>
      <c r="D228" s="59"/>
      <c r="E228" s="59"/>
      <c r="G228" s="39"/>
      <c r="H228" s="35"/>
      <c r="I228" s="60"/>
      <c r="J228" s="61"/>
      <c r="L228" s="37"/>
      <c r="P228" s="39"/>
      <c r="Q228" s="39"/>
      <c r="R228" s="33"/>
      <c r="S228" s="39"/>
      <c r="T228" s="39"/>
      <c r="U228" s="39"/>
      <c r="V228" s="39"/>
    </row>
    <row r="229" spans="2:22" ht="12.75" x14ac:dyDescent="0.2">
      <c r="B229" s="32"/>
      <c r="D229" s="59"/>
      <c r="E229" s="59"/>
      <c r="G229" s="39"/>
      <c r="H229" s="35"/>
      <c r="I229" s="60"/>
      <c r="J229" s="61"/>
      <c r="L229" s="37"/>
      <c r="P229" s="39"/>
      <c r="Q229" s="39"/>
      <c r="R229" s="33"/>
      <c r="S229" s="39"/>
      <c r="T229" s="39"/>
      <c r="U229" s="39"/>
      <c r="V229" s="39"/>
    </row>
    <row r="230" spans="2:22" ht="12.75" x14ac:dyDescent="0.2">
      <c r="B230" s="32"/>
      <c r="D230" s="59"/>
      <c r="E230" s="59"/>
      <c r="G230" s="39"/>
      <c r="H230" s="35"/>
      <c r="I230" s="60"/>
      <c r="J230" s="61"/>
      <c r="L230" s="37"/>
      <c r="P230" s="39"/>
      <c r="Q230" s="39"/>
      <c r="R230" s="33"/>
      <c r="S230" s="39"/>
      <c r="T230" s="39"/>
      <c r="U230" s="39"/>
      <c r="V230" s="39"/>
    </row>
    <row r="231" spans="2:22" ht="12.75" x14ac:dyDescent="0.2">
      <c r="B231" s="32"/>
      <c r="D231" s="59"/>
      <c r="E231" s="59"/>
      <c r="G231" s="39"/>
      <c r="H231" s="35"/>
      <c r="I231" s="60"/>
      <c r="J231" s="61"/>
      <c r="L231" s="37"/>
      <c r="P231" s="39"/>
      <c r="Q231" s="39"/>
      <c r="R231" s="33"/>
      <c r="S231" s="39"/>
      <c r="T231" s="39"/>
      <c r="U231" s="39"/>
      <c r="V231" s="39"/>
    </row>
    <row r="232" spans="2:22" ht="12.75" x14ac:dyDescent="0.2">
      <c r="B232" s="32"/>
      <c r="D232" s="59"/>
      <c r="E232" s="59"/>
      <c r="G232" s="39"/>
      <c r="H232" s="35"/>
      <c r="I232" s="60"/>
      <c r="J232" s="61"/>
      <c r="L232" s="37"/>
      <c r="P232" s="39"/>
      <c r="Q232" s="39"/>
      <c r="R232" s="33"/>
      <c r="S232" s="39"/>
      <c r="T232" s="39"/>
      <c r="U232" s="39"/>
      <c r="V232" s="39"/>
    </row>
    <row r="233" spans="2:22" ht="12.75" x14ac:dyDescent="0.2">
      <c r="B233" s="32"/>
      <c r="D233" s="59"/>
      <c r="E233" s="59"/>
      <c r="G233" s="39"/>
      <c r="H233" s="35"/>
      <c r="I233" s="60"/>
      <c r="J233" s="61"/>
      <c r="L233" s="37"/>
      <c r="P233" s="39"/>
      <c r="Q233" s="39"/>
      <c r="R233" s="33"/>
      <c r="S233" s="39"/>
      <c r="T233" s="39"/>
      <c r="U233" s="39"/>
      <c r="V233" s="39"/>
    </row>
    <row r="234" spans="2:22" ht="12.75" x14ac:dyDescent="0.2">
      <c r="B234" s="32"/>
      <c r="D234" s="59"/>
      <c r="E234" s="59"/>
      <c r="G234" s="39"/>
      <c r="H234" s="35"/>
      <c r="I234" s="60"/>
      <c r="J234" s="61"/>
      <c r="L234" s="37"/>
      <c r="P234" s="39"/>
      <c r="Q234" s="39"/>
      <c r="R234" s="33"/>
      <c r="S234" s="39"/>
      <c r="T234" s="39"/>
      <c r="U234" s="39"/>
      <c r="V234" s="39"/>
    </row>
    <row r="235" spans="2:22" ht="12.75" x14ac:dyDescent="0.2">
      <c r="B235" s="32"/>
      <c r="D235" s="59"/>
      <c r="E235" s="59"/>
      <c r="G235" s="39"/>
      <c r="H235" s="35"/>
      <c r="I235" s="60"/>
      <c r="J235" s="61"/>
      <c r="L235" s="37"/>
      <c r="P235" s="39"/>
      <c r="Q235" s="39"/>
      <c r="R235" s="33"/>
      <c r="S235" s="39"/>
      <c r="T235" s="39"/>
      <c r="U235" s="39"/>
      <c r="V235" s="39"/>
    </row>
    <row r="236" spans="2:22" ht="12.75" x14ac:dyDescent="0.2">
      <c r="B236" s="32"/>
      <c r="D236" s="59"/>
      <c r="E236" s="59"/>
      <c r="G236" s="39"/>
      <c r="H236" s="35"/>
      <c r="I236" s="60"/>
      <c r="J236" s="61"/>
      <c r="L236" s="37"/>
      <c r="P236" s="39"/>
      <c r="Q236" s="39"/>
      <c r="R236" s="33"/>
      <c r="S236" s="39"/>
      <c r="T236" s="39"/>
      <c r="U236" s="39"/>
      <c r="V236" s="39"/>
    </row>
    <row r="237" spans="2:22" ht="12.75" x14ac:dyDescent="0.2">
      <c r="B237" s="32"/>
      <c r="D237" s="59"/>
      <c r="E237" s="59"/>
      <c r="G237" s="39"/>
      <c r="H237" s="35"/>
      <c r="I237" s="60"/>
      <c r="J237" s="61"/>
      <c r="L237" s="37"/>
      <c r="P237" s="39"/>
      <c r="Q237" s="39"/>
      <c r="R237" s="33"/>
      <c r="S237" s="39"/>
      <c r="T237" s="39"/>
      <c r="U237" s="39"/>
      <c r="V237" s="39"/>
    </row>
    <row r="238" spans="2:22" ht="12.75" x14ac:dyDescent="0.2">
      <c r="B238" s="32"/>
      <c r="D238" s="59"/>
      <c r="E238" s="59"/>
      <c r="G238" s="39"/>
      <c r="H238" s="35"/>
      <c r="I238" s="60"/>
      <c r="J238" s="61"/>
      <c r="L238" s="37"/>
      <c r="P238" s="39"/>
      <c r="Q238" s="39"/>
      <c r="R238" s="33"/>
      <c r="S238" s="39"/>
      <c r="T238" s="39"/>
      <c r="U238" s="39"/>
      <c r="V238" s="39"/>
    </row>
    <row r="239" spans="2:22" ht="12.75" x14ac:dyDescent="0.2">
      <c r="B239" s="32"/>
      <c r="D239" s="59"/>
      <c r="E239" s="59"/>
      <c r="G239" s="39"/>
      <c r="H239" s="35"/>
      <c r="I239" s="60"/>
      <c r="J239" s="61"/>
      <c r="L239" s="37"/>
      <c r="P239" s="39"/>
      <c r="Q239" s="39"/>
      <c r="R239" s="33"/>
      <c r="S239" s="39"/>
      <c r="T239" s="39"/>
      <c r="U239" s="39"/>
      <c r="V239" s="39"/>
    </row>
    <row r="240" spans="2:22" ht="12.75" x14ac:dyDescent="0.2">
      <c r="B240" s="32"/>
      <c r="D240" s="59"/>
      <c r="E240" s="59"/>
      <c r="G240" s="39"/>
      <c r="H240" s="35"/>
      <c r="I240" s="60"/>
      <c r="J240" s="61"/>
      <c r="L240" s="37"/>
      <c r="P240" s="39"/>
      <c r="Q240" s="39"/>
      <c r="R240" s="33"/>
      <c r="S240" s="39"/>
      <c r="T240" s="39"/>
      <c r="U240" s="39"/>
      <c r="V240" s="39"/>
    </row>
    <row r="241" spans="2:22" ht="12.75" x14ac:dyDescent="0.2">
      <c r="B241" s="32"/>
      <c r="D241" s="59"/>
      <c r="E241" s="59"/>
      <c r="G241" s="39"/>
      <c r="H241" s="35"/>
      <c r="I241" s="60"/>
      <c r="J241" s="61"/>
      <c r="L241" s="37"/>
      <c r="P241" s="39"/>
      <c r="Q241" s="39"/>
      <c r="R241" s="33"/>
      <c r="S241" s="39"/>
      <c r="T241" s="39"/>
      <c r="U241" s="39"/>
      <c r="V241" s="39"/>
    </row>
    <row r="242" spans="2:22" ht="12.75" x14ac:dyDescent="0.2">
      <c r="B242" s="32"/>
      <c r="D242" s="59"/>
      <c r="E242" s="59"/>
      <c r="G242" s="39"/>
      <c r="H242" s="35"/>
      <c r="I242" s="60"/>
      <c r="J242" s="61"/>
      <c r="L242" s="37"/>
      <c r="P242" s="39"/>
      <c r="Q242" s="39"/>
      <c r="R242" s="33"/>
      <c r="S242" s="39"/>
      <c r="T242" s="39"/>
      <c r="U242" s="39"/>
      <c r="V242" s="39"/>
    </row>
    <row r="243" spans="2:22" ht="12.75" x14ac:dyDescent="0.2">
      <c r="B243" s="32"/>
      <c r="D243" s="59"/>
      <c r="E243" s="59"/>
      <c r="G243" s="39"/>
      <c r="H243" s="35"/>
      <c r="I243" s="60"/>
      <c r="J243" s="61"/>
      <c r="L243" s="37"/>
      <c r="P243" s="39"/>
      <c r="Q243" s="39"/>
      <c r="R243" s="33"/>
      <c r="S243" s="39"/>
      <c r="T243" s="39"/>
      <c r="U243" s="39"/>
      <c r="V243" s="39"/>
    </row>
    <row r="244" spans="2:22" ht="12.75" x14ac:dyDescent="0.2">
      <c r="B244" s="32"/>
      <c r="D244" s="59"/>
      <c r="E244" s="59"/>
      <c r="G244" s="39"/>
      <c r="H244" s="35"/>
      <c r="I244" s="60"/>
      <c r="J244" s="61"/>
      <c r="L244" s="37"/>
      <c r="P244" s="39"/>
      <c r="Q244" s="39"/>
      <c r="R244" s="33"/>
      <c r="S244" s="39"/>
      <c r="T244" s="39"/>
      <c r="U244" s="39"/>
      <c r="V244" s="39"/>
    </row>
    <row r="245" spans="2:22" ht="12.75" x14ac:dyDescent="0.2">
      <c r="B245" s="32"/>
      <c r="D245" s="59"/>
      <c r="E245" s="59"/>
      <c r="G245" s="39"/>
      <c r="H245" s="35"/>
      <c r="I245" s="60"/>
      <c r="J245" s="61"/>
      <c r="L245" s="37"/>
      <c r="P245" s="39"/>
      <c r="Q245" s="39"/>
      <c r="R245" s="33"/>
      <c r="S245" s="39"/>
      <c r="T245" s="39"/>
      <c r="U245" s="39"/>
      <c r="V245" s="39"/>
    </row>
    <row r="246" spans="2:22" ht="12.75" x14ac:dyDescent="0.2">
      <c r="B246" s="32"/>
      <c r="D246" s="59"/>
      <c r="E246" s="59"/>
      <c r="G246" s="39"/>
      <c r="H246" s="35"/>
      <c r="I246" s="60"/>
      <c r="J246" s="61"/>
      <c r="L246" s="37"/>
      <c r="P246" s="39"/>
      <c r="Q246" s="39"/>
      <c r="R246" s="33"/>
      <c r="S246" s="39"/>
      <c r="T246" s="39"/>
      <c r="U246" s="39"/>
      <c r="V246" s="39"/>
    </row>
    <row r="247" spans="2:22" ht="12.75" x14ac:dyDescent="0.2">
      <c r="B247" s="32"/>
      <c r="D247" s="59"/>
      <c r="E247" s="59"/>
      <c r="G247" s="39"/>
      <c r="H247" s="35"/>
      <c r="I247" s="60"/>
      <c r="J247" s="61"/>
      <c r="L247" s="37"/>
      <c r="P247" s="39"/>
      <c r="Q247" s="39"/>
      <c r="R247" s="33"/>
      <c r="S247" s="39"/>
      <c r="T247" s="39"/>
      <c r="U247" s="39"/>
      <c r="V247" s="39"/>
    </row>
    <row r="248" spans="2:22" ht="12.75" x14ac:dyDescent="0.2">
      <c r="B248" s="32"/>
      <c r="D248" s="59"/>
      <c r="E248" s="59"/>
      <c r="G248" s="39"/>
      <c r="H248" s="35"/>
      <c r="I248" s="60"/>
      <c r="J248" s="61"/>
      <c r="L248" s="37"/>
      <c r="P248" s="39"/>
      <c r="Q248" s="39"/>
      <c r="R248" s="33"/>
      <c r="S248" s="39"/>
      <c r="T248" s="39"/>
      <c r="U248" s="39"/>
      <c r="V248" s="39"/>
    </row>
    <row r="249" spans="2:22" ht="12.75" x14ac:dyDescent="0.2">
      <c r="B249" s="32"/>
      <c r="D249" s="59"/>
      <c r="E249" s="59"/>
      <c r="G249" s="39"/>
      <c r="H249" s="35"/>
      <c r="I249" s="60"/>
      <c r="J249" s="61"/>
      <c r="L249" s="37"/>
      <c r="P249" s="39"/>
      <c r="Q249" s="39"/>
      <c r="R249" s="33"/>
      <c r="S249" s="39"/>
      <c r="T249" s="39"/>
      <c r="U249" s="39"/>
      <c r="V249" s="39"/>
    </row>
    <row r="250" spans="2:22" ht="12.75" x14ac:dyDescent="0.2">
      <c r="B250" s="32"/>
      <c r="D250" s="59"/>
      <c r="E250" s="59"/>
      <c r="G250" s="39"/>
      <c r="H250" s="35"/>
      <c r="I250" s="60"/>
      <c r="J250" s="61"/>
      <c r="L250" s="37"/>
      <c r="P250" s="39"/>
      <c r="Q250" s="39"/>
      <c r="R250" s="33"/>
      <c r="S250" s="39"/>
      <c r="T250" s="39"/>
      <c r="U250" s="39"/>
      <c r="V250" s="39"/>
    </row>
    <row r="251" spans="2:22" ht="12.75" x14ac:dyDescent="0.2">
      <c r="B251" s="32"/>
      <c r="D251" s="59"/>
      <c r="E251" s="59"/>
      <c r="G251" s="39"/>
      <c r="H251" s="35"/>
      <c r="I251" s="60"/>
      <c r="J251" s="61"/>
      <c r="L251" s="37"/>
      <c r="P251" s="39"/>
      <c r="Q251" s="39"/>
      <c r="R251" s="33"/>
      <c r="S251" s="39"/>
      <c r="T251" s="39"/>
      <c r="U251" s="39"/>
      <c r="V251" s="39"/>
    </row>
    <row r="252" spans="2:22" ht="12.75" x14ac:dyDescent="0.2">
      <c r="B252" s="32"/>
      <c r="D252" s="59"/>
      <c r="E252" s="59"/>
      <c r="G252" s="39"/>
      <c r="H252" s="35"/>
      <c r="I252" s="60"/>
      <c r="J252" s="61"/>
      <c r="L252" s="37"/>
      <c r="P252" s="39"/>
      <c r="Q252" s="39"/>
      <c r="R252" s="33"/>
      <c r="S252" s="39"/>
      <c r="T252" s="39"/>
      <c r="U252" s="39"/>
      <c r="V252" s="39"/>
    </row>
    <row r="253" spans="2:22" ht="12.75" x14ac:dyDescent="0.2">
      <c r="B253" s="32"/>
      <c r="D253" s="59"/>
      <c r="E253" s="59"/>
      <c r="G253" s="39"/>
      <c r="H253" s="35"/>
      <c r="I253" s="60"/>
      <c r="J253" s="61"/>
      <c r="L253" s="37"/>
      <c r="P253" s="39"/>
      <c r="Q253" s="39"/>
      <c r="R253" s="33"/>
      <c r="S253" s="39"/>
      <c r="T253" s="39"/>
      <c r="U253" s="39"/>
      <c r="V253" s="39"/>
    </row>
    <row r="254" spans="2:22" ht="12.75" x14ac:dyDescent="0.2">
      <c r="B254" s="32"/>
      <c r="D254" s="59"/>
      <c r="E254" s="59"/>
      <c r="G254" s="39"/>
      <c r="H254" s="35"/>
      <c r="I254" s="60"/>
      <c r="J254" s="61"/>
      <c r="L254" s="37"/>
      <c r="P254" s="39"/>
      <c r="Q254" s="39"/>
      <c r="R254" s="33"/>
      <c r="S254" s="39"/>
      <c r="T254" s="39"/>
      <c r="U254" s="39"/>
      <c r="V254" s="39"/>
    </row>
    <row r="255" spans="2:22" ht="12.75" x14ac:dyDescent="0.2">
      <c r="B255" s="32"/>
      <c r="D255" s="59"/>
      <c r="E255" s="59"/>
      <c r="G255" s="39"/>
      <c r="H255" s="35"/>
      <c r="I255" s="60"/>
      <c r="J255" s="61"/>
      <c r="L255" s="37"/>
      <c r="P255" s="39"/>
      <c r="Q255" s="39"/>
      <c r="R255" s="33"/>
      <c r="S255" s="39"/>
      <c r="T255" s="39"/>
      <c r="U255" s="39"/>
      <c r="V255" s="39"/>
    </row>
    <row r="256" spans="2:22" ht="12.75" x14ac:dyDescent="0.2">
      <c r="B256" s="32"/>
      <c r="D256" s="59"/>
      <c r="E256" s="59"/>
      <c r="G256" s="39"/>
      <c r="H256" s="35"/>
      <c r="I256" s="60"/>
      <c r="J256" s="61"/>
      <c r="L256" s="37"/>
      <c r="P256" s="39"/>
      <c r="Q256" s="39"/>
      <c r="R256" s="33"/>
      <c r="S256" s="39"/>
      <c r="T256" s="39"/>
      <c r="U256" s="39"/>
      <c r="V256" s="39"/>
    </row>
    <row r="257" spans="2:22" ht="12.75" x14ac:dyDescent="0.2">
      <c r="B257" s="32"/>
      <c r="D257" s="59"/>
      <c r="E257" s="59"/>
      <c r="G257" s="39"/>
      <c r="H257" s="35"/>
      <c r="I257" s="60"/>
      <c r="J257" s="61"/>
      <c r="L257" s="37"/>
      <c r="P257" s="39"/>
      <c r="Q257" s="39"/>
      <c r="R257" s="33"/>
      <c r="S257" s="39"/>
      <c r="T257" s="39"/>
      <c r="U257" s="39"/>
      <c r="V257" s="39"/>
    </row>
    <row r="258" spans="2:22" ht="12.75" x14ac:dyDescent="0.2">
      <c r="B258" s="32"/>
      <c r="D258" s="59"/>
      <c r="E258" s="59"/>
      <c r="G258" s="39"/>
      <c r="H258" s="35"/>
      <c r="I258" s="60"/>
      <c r="J258" s="61"/>
      <c r="L258" s="37"/>
      <c r="P258" s="39"/>
      <c r="Q258" s="39"/>
      <c r="R258" s="33"/>
      <c r="S258" s="39"/>
      <c r="T258" s="39"/>
      <c r="U258" s="39"/>
      <c r="V258" s="39"/>
    </row>
    <row r="259" spans="2:22" ht="12.75" x14ac:dyDescent="0.2">
      <c r="B259" s="32"/>
      <c r="D259" s="59"/>
      <c r="E259" s="59"/>
      <c r="G259" s="39"/>
      <c r="H259" s="35"/>
      <c r="I259" s="60"/>
      <c r="J259" s="61"/>
      <c r="L259" s="37"/>
      <c r="P259" s="39"/>
      <c r="Q259" s="39"/>
      <c r="R259" s="33"/>
      <c r="S259" s="39"/>
      <c r="T259" s="39"/>
      <c r="U259" s="39"/>
      <c r="V259" s="39"/>
    </row>
    <row r="260" spans="2:22" ht="12.75" x14ac:dyDescent="0.2">
      <c r="B260" s="32"/>
      <c r="D260" s="59"/>
      <c r="E260" s="59"/>
      <c r="G260" s="39"/>
      <c r="H260" s="35"/>
      <c r="I260" s="60"/>
      <c r="J260" s="61"/>
      <c r="L260" s="37"/>
      <c r="P260" s="39"/>
      <c r="Q260" s="39"/>
      <c r="R260" s="33"/>
      <c r="S260" s="39"/>
      <c r="T260" s="39"/>
      <c r="U260" s="39"/>
      <c r="V260" s="39"/>
    </row>
    <row r="261" spans="2:22" ht="12.75" x14ac:dyDescent="0.2">
      <c r="B261" s="32"/>
      <c r="D261" s="59"/>
      <c r="E261" s="59"/>
      <c r="G261" s="39"/>
      <c r="H261" s="35"/>
      <c r="I261" s="60"/>
      <c r="J261" s="61"/>
      <c r="L261" s="37"/>
      <c r="P261" s="39"/>
      <c r="Q261" s="39"/>
      <c r="R261" s="33"/>
      <c r="S261" s="39"/>
      <c r="T261" s="39"/>
      <c r="U261" s="39"/>
      <c r="V261" s="39"/>
    </row>
    <row r="262" spans="2:22" ht="12.75" x14ac:dyDescent="0.2">
      <c r="B262" s="32"/>
      <c r="D262" s="59"/>
      <c r="E262" s="59"/>
      <c r="G262" s="39"/>
      <c r="H262" s="35"/>
      <c r="I262" s="60"/>
      <c r="J262" s="61"/>
      <c r="L262" s="37"/>
      <c r="P262" s="39"/>
      <c r="Q262" s="39"/>
      <c r="R262" s="33"/>
      <c r="S262" s="39"/>
      <c r="T262" s="39"/>
      <c r="U262" s="39"/>
      <c r="V262" s="39"/>
    </row>
    <row r="263" spans="2:22" ht="12.75" x14ac:dyDescent="0.2">
      <c r="B263" s="32"/>
      <c r="D263" s="59"/>
      <c r="E263" s="59"/>
      <c r="G263" s="39"/>
      <c r="H263" s="35"/>
      <c r="I263" s="60"/>
      <c r="J263" s="61"/>
      <c r="L263" s="37"/>
      <c r="P263" s="39"/>
      <c r="Q263" s="39"/>
      <c r="R263" s="33"/>
      <c r="S263" s="39"/>
      <c r="T263" s="39"/>
      <c r="U263" s="39"/>
      <c r="V263" s="39"/>
    </row>
    <row r="264" spans="2:22" ht="12.75" x14ac:dyDescent="0.2">
      <c r="B264" s="32"/>
      <c r="D264" s="59"/>
      <c r="E264" s="59"/>
      <c r="G264" s="39"/>
      <c r="H264" s="35"/>
      <c r="I264" s="60"/>
      <c r="J264" s="61"/>
      <c r="L264" s="37"/>
      <c r="P264" s="39"/>
      <c r="Q264" s="39"/>
      <c r="R264" s="33"/>
      <c r="S264" s="39"/>
      <c r="T264" s="39"/>
      <c r="U264" s="39"/>
      <c r="V264" s="39"/>
    </row>
    <row r="265" spans="2:22" ht="12.75" x14ac:dyDescent="0.2">
      <c r="B265" s="32"/>
      <c r="D265" s="59"/>
      <c r="E265" s="59"/>
      <c r="G265" s="39"/>
      <c r="H265" s="35"/>
      <c r="I265" s="60"/>
      <c r="J265" s="61"/>
      <c r="L265" s="37"/>
      <c r="P265" s="39"/>
      <c r="Q265" s="39"/>
      <c r="R265" s="33"/>
      <c r="S265" s="39"/>
      <c r="T265" s="39"/>
      <c r="U265" s="39"/>
      <c r="V265" s="39"/>
    </row>
    <row r="266" spans="2:22" ht="12.75" x14ac:dyDescent="0.2">
      <c r="B266" s="32"/>
      <c r="D266" s="59"/>
      <c r="E266" s="59"/>
      <c r="G266" s="39"/>
      <c r="H266" s="35"/>
      <c r="I266" s="60"/>
      <c r="J266" s="61"/>
      <c r="L266" s="37"/>
      <c r="P266" s="39"/>
      <c r="Q266" s="39"/>
      <c r="R266" s="33"/>
      <c r="S266" s="39"/>
      <c r="T266" s="39"/>
      <c r="U266" s="39"/>
      <c r="V266" s="39"/>
    </row>
    <row r="267" spans="2:22" ht="12.75" x14ac:dyDescent="0.2">
      <c r="B267" s="32"/>
      <c r="D267" s="59"/>
      <c r="E267" s="59"/>
      <c r="G267" s="39"/>
      <c r="H267" s="35"/>
      <c r="I267" s="60"/>
      <c r="J267" s="61"/>
      <c r="L267" s="37"/>
      <c r="P267" s="39"/>
      <c r="Q267" s="39"/>
      <c r="R267" s="33"/>
      <c r="S267" s="39"/>
      <c r="T267" s="39"/>
      <c r="U267" s="39"/>
      <c r="V267" s="39"/>
    </row>
    <row r="268" spans="2:22" ht="12.75" x14ac:dyDescent="0.2">
      <c r="B268" s="32"/>
      <c r="D268" s="59"/>
      <c r="E268" s="59"/>
      <c r="G268" s="39"/>
      <c r="H268" s="35"/>
      <c r="I268" s="60"/>
      <c r="J268" s="61"/>
      <c r="L268" s="37"/>
      <c r="P268" s="39"/>
      <c r="Q268" s="39"/>
      <c r="R268" s="33"/>
      <c r="S268" s="39"/>
      <c r="T268" s="39"/>
      <c r="U268" s="39"/>
      <c r="V268" s="39"/>
    </row>
    <row r="269" spans="2:22" ht="12.75" x14ac:dyDescent="0.2">
      <c r="B269" s="32"/>
      <c r="D269" s="59"/>
      <c r="E269" s="59"/>
      <c r="G269" s="39"/>
      <c r="H269" s="35"/>
      <c r="I269" s="60"/>
      <c r="J269" s="61"/>
      <c r="L269" s="37"/>
      <c r="P269" s="39"/>
      <c r="Q269" s="39"/>
      <c r="R269" s="33"/>
      <c r="S269" s="39"/>
      <c r="T269" s="39"/>
      <c r="U269" s="39"/>
      <c r="V269" s="39"/>
    </row>
    <row r="270" spans="2:22" ht="12.75" x14ac:dyDescent="0.2">
      <c r="B270" s="32"/>
      <c r="D270" s="59"/>
      <c r="E270" s="59"/>
      <c r="G270" s="39"/>
      <c r="H270" s="35"/>
      <c r="I270" s="60"/>
      <c r="J270" s="61"/>
      <c r="L270" s="37"/>
      <c r="P270" s="39"/>
      <c r="Q270" s="39"/>
      <c r="R270" s="33"/>
      <c r="S270" s="39"/>
      <c r="T270" s="39"/>
      <c r="U270" s="39"/>
      <c r="V270" s="39"/>
    </row>
    <row r="271" spans="2:22" ht="12.75" x14ac:dyDescent="0.2">
      <c r="B271" s="32"/>
      <c r="D271" s="59"/>
      <c r="E271" s="59"/>
      <c r="G271" s="39"/>
      <c r="H271" s="35"/>
      <c r="I271" s="60"/>
      <c r="J271" s="61"/>
      <c r="L271" s="37"/>
      <c r="P271" s="39"/>
      <c r="Q271" s="39"/>
      <c r="R271" s="33"/>
      <c r="S271" s="39"/>
      <c r="T271" s="39"/>
      <c r="U271" s="39"/>
      <c r="V271" s="39"/>
    </row>
    <row r="272" spans="2:22" ht="12.75" x14ac:dyDescent="0.2">
      <c r="B272" s="32"/>
      <c r="D272" s="59"/>
      <c r="E272" s="59"/>
      <c r="G272" s="39"/>
      <c r="H272" s="35"/>
      <c r="I272" s="60"/>
      <c r="J272" s="61"/>
      <c r="L272" s="37"/>
      <c r="P272" s="39"/>
      <c r="Q272" s="39"/>
      <c r="R272" s="33"/>
      <c r="S272" s="39"/>
      <c r="T272" s="39"/>
      <c r="U272" s="39"/>
      <c r="V272" s="39"/>
    </row>
    <row r="273" spans="2:22" ht="12.75" x14ac:dyDescent="0.2">
      <c r="B273" s="32"/>
      <c r="D273" s="59"/>
      <c r="E273" s="59"/>
      <c r="G273" s="39"/>
      <c r="H273" s="35"/>
      <c r="I273" s="60"/>
      <c r="J273" s="61"/>
      <c r="L273" s="37"/>
      <c r="P273" s="39"/>
      <c r="Q273" s="39"/>
      <c r="R273" s="33"/>
      <c r="S273" s="39"/>
      <c r="T273" s="39"/>
      <c r="U273" s="39"/>
      <c r="V273" s="39"/>
    </row>
    <row r="274" spans="2:22" ht="12.75" x14ac:dyDescent="0.2">
      <c r="B274" s="32"/>
      <c r="D274" s="59"/>
      <c r="E274" s="59"/>
      <c r="G274" s="39"/>
      <c r="H274" s="35"/>
      <c r="I274" s="60"/>
      <c r="J274" s="61"/>
      <c r="L274" s="37"/>
      <c r="P274" s="39"/>
      <c r="Q274" s="39"/>
      <c r="R274" s="33"/>
      <c r="S274" s="39"/>
      <c r="T274" s="39"/>
      <c r="U274" s="39"/>
      <c r="V274" s="39"/>
    </row>
    <row r="275" spans="2:22" ht="12.75" x14ac:dyDescent="0.2">
      <c r="B275" s="32"/>
      <c r="D275" s="59"/>
      <c r="E275" s="59"/>
      <c r="G275" s="39"/>
      <c r="H275" s="35"/>
      <c r="I275" s="60"/>
      <c r="J275" s="61"/>
      <c r="L275" s="37"/>
      <c r="P275" s="39"/>
      <c r="Q275" s="39"/>
      <c r="R275" s="33"/>
      <c r="S275" s="39"/>
      <c r="T275" s="39"/>
      <c r="U275" s="39"/>
      <c r="V275" s="39"/>
    </row>
    <row r="276" spans="2:22" ht="12.75" x14ac:dyDescent="0.2">
      <c r="B276" s="32"/>
      <c r="D276" s="59"/>
      <c r="E276" s="59"/>
      <c r="G276" s="39"/>
      <c r="H276" s="35"/>
      <c r="I276" s="60"/>
      <c r="J276" s="61"/>
      <c r="L276" s="37"/>
      <c r="P276" s="39"/>
      <c r="Q276" s="39"/>
      <c r="R276" s="33"/>
      <c r="S276" s="39"/>
      <c r="T276" s="39"/>
      <c r="U276" s="39"/>
      <c r="V276" s="39"/>
    </row>
    <row r="277" spans="2:22" ht="12.75" x14ac:dyDescent="0.2">
      <c r="B277" s="32"/>
      <c r="D277" s="59"/>
      <c r="E277" s="59"/>
      <c r="G277" s="39"/>
      <c r="H277" s="35"/>
      <c r="I277" s="60"/>
      <c r="J277" s="61"/>
      <c r="L277" s="37"/>
      <c r="P277" s="39"/>
      <c r="Q277" s="39"/>
      <c r="R277" s="33"/>
      <c r="S277" s="39"/>
      <c r="T277" s="39"/>
      <c r="U277" s="39"/>
      <c r="V277" s="39"/>
    </row>
    <row r="278" spans="2:22" ht="12.75" x14ac:dyDescent="0.2">
      <c r="B278" s="32"/>
      <c r="D278" s="59"/>
      <c r="E278" s="59"/>
      <c r="G278" s="39"/>
      <c r="H278" s="35"/>
      <c r="I278" s="60"/>
      <c r="J278" s="61"/>
      <c r="L278" s="37"/>
      <c r="P278" s="39"/>
      <c r="Q278" s="39"/>
      <c r="R278" s="33"/>
      <c r="S278" s="39"/>
      <c r="T278" s="39"/>
      <c r="U278" s="39"/>
      <c r="V278" s="39"/>
    </row>
    <row r="279" spans="2:22" ht="12.75" x14ac:dyDescent="0.2">
      <c r="B279" s="32"/>
      <c r="D279" s="59"/>
      <c r="E279" s="59"/>
      <c r="G279" s="39"/>
      <c r="H279" s="35"/>
      <c r="I279" s="60"/>
      <c r="J279" s="61"/>
      <c r="L279" s="37"/>
      <c r="P279" s="39"/>
      <c r="Q279" s="39"/>
      <c r="R279" s="33"/>
      <c r="S279" s="39"/>
      <c r="T279" s="39"/>
      <c r="U279" s="39"/>
      <c r="V279" s="39"/>
    </row>
    <row r="280" spans="2:22" ht="12.75" x14ac:dyDescent="0.2">
      <c r="B280" s="32"/>
      <c r="D280" s="59"/>
      <c r="E280" s="59"/>
      <c r="G280" s="39"/>
      <c r="H280" s="35"/>
      <c r="I280" s="60"/>
      <c r="J280" s="61"/>
      <c r="L280" s="37"/>
      <c r="P280" s="39"/>
      <c r="Q280" s="39"/>
      <c r="R280" s="33"/>
      <c r="S280" s="39"/>
      <c r="T280" s="39"/>
      <c r="U280" s="39"/>
      <c r="V280" s="39"/>
    </row>
    <row r="281" spans="2:22" ht="12.75" x14ac:dyDescent="0.2">
      <c r="B281" s="32"/>
      <c r="D281" s="59"/>
      <c r="E281" s="59"/>
      <c r="G281" s="39"/>
      <c r="H281" s="35"/>
      <c r="I281" s="60"/>
      <c r="J281" s="61"/>
      <c r="L281" s="37"/>
      <c r="P281" s="39"/>
      <c r="Q281" s="39"/>
      <c r="R281" s="33"/>
      <c r="S281" s="39"/>
      <c r="T281" s="39"/>
      <c r="U281" s="39"/>
      <c r="V281" s="39"/>
    </row>
    <row r="282" spans="2:22" ht="12.75" x14ac:dyDescent="0.2">
      <c r="B282" s="32"/>
      <c r="D282" s="59"/>
      <c r="E282" s="59"/>
      <c r="G282" s="39"/>
      <c r="H282" s="35"/>
      <c r="I282" s="60"/>
      <c r="J282" s="61"/>
      <c r="L282" s="37"/>
      <c r="P282" s="39"/>
      <c r="Q282" s="39"/>
      <c r="R282" s="33"/>
      <c r="S282" s="39"/>
      <c r="T282" s="39"/>
      <c r="U282" s="39"/>
      <c r="V282" s="39"/>
    </row>
    <row r="283" spans="2:22" ht="12.75" x14ac:dyDescent="0.2">
      <c r="B283" s="32"/>
      <c r="D283" s="59"/>
      <c r="E283" s="59"/>
      <c r="G283" s="39"/>
      <c r="H283" s="35"/>
      <c r="I283" s="60"/>
      <c r="J283" s="61"/>
      <c r="L283" s="37"/>
      <c r="P283" s="39"/>
      <c r="Q283" s="39"/>
      <c r="R283" s="33"/>
      <c r="S283" s="39"/>
      <c r="T283" s="39"/>
      <c r="U283" s="39"/>
      <c r="V283" s="39"/>
    </row>
    <row r="284" spans="2:22" ht="12.75" x14ac:dyDescent="0.2">
      <c r="B284" s="32"/>
      <c r="D284" s="59"/>
      <c r="E284" s="59"/>
      <c r="G284" s="39"/>
      <c r="H284" s="35"/>
      <c r="I284" s="60"/>
      <c r="J284" s="61"/>
      <c r="L284" s="37"/>
      <c r="P284" s="39"/>
      <c r="Q284" s="39"/>
      <c r="R284" s="33"/>
      <c r="S284" s="39"/>
      <c r="T284" s="39"/>
      <c r="U284" s="39"/>
      <c r="V284" s="39"/>
    </row>
    <row r="285" spans="2:22" ht="12.75" x14ac:dyDescent="0.2">
      <c r="B285" s="32"/>
      <c r="D285" s="59"/>
      <c r="E285" s="59"/>
      <c r="G285" s="39"/>
      <c r="H285" s="35"/>
      <c r="I285" s="60"/>
      <c r="J285" s="61"/>
      <c r="L285" s="37"/>
      <c r="P285" s="39"/>
      <c r="Q285" s="39"/>
      <c r="R285" s="33"/>
      <c r="S285" s="39"/>
      <c r="T285" s="39"/>
      <c r="U285" s="39"/>
      <c r="V285" s="39"/>
    </row>
    <row r="286" spans="2:22" ht="12.75" x14ac:dyDescent="0.2">
      <c r="B286" s="32"/>
      <c r="D286" s="59"/>
      <c r="E286" s="59"/>
      <c r="G286" s="39"/>
      <c r="H286" s="35"/>
      <c r="I286" s="60"/>
      <c r="J286" s="61"/>
      <c r="L286" s="37"/>
      <c r="P286" s="39"/>
      <c r="Q286" s="39"/>
      <c r="R286" s="33"/>
      <c r="S286" s="39"/>
      <c r="T286" s="39"/>
      <c r="U286" s="39"/>
      <c r="V286" s="39"/>
    </row>
    <row r="287" spans="2:22" ht="12.75" x14ac:dyDescent="0.2">
      <c r="B287" s="32"/>
      <c r="D287" s="59"/>
      <c r="E287" s="59"/>
      <c r="G287" s="39"/>
      <c r="H287" s="35"/>
      <c r="I287" s="60"/>
      <c r="J287" s="61"/>
      <c r="L287" s="37"/>
      <c r="P287" s="39"/>
      <c r="Q287" s="39"/>
      <c r="R287" s="33"/>
      <c r="S287" s="39"/>
      <c r="T287" s="39"/>
      <c r="U287" s="39"/>
      <c r="V287" s="39"/>
    </row>
    <row r="288" spans="2:22" ht="12.75" x14ac:dyDescent="0.2">
      <c r="B288" s="32"/>
      <c r="D288" s="59"/>
      <c r="E288" s="59"/>
      <c r="G288" s="39"/>
      <c r="H288" s="35"/>
      <c r="I288" s="60"/>
      <c r="J288" s="61"/>
      <c r="L288" s="37"/>
      <c r="P288" s="39"/>
      <c r="Q288" s="39"/>
      <c r="R288" s="33"/>
      <c r="S288" s="39"/>
      <c r="T288" s="39"/>
      <c r="U288" s="39"/>
      <c r="V288" s="39"/>
    </row>
    <row r="289" spans="2:22" ht="12.75" x14ac:dyDescent="0.2">
      <c r="B289" s="32"/>
      <c r="D289" s="59"/>
      <c r="E289" s="59"/>
      <c r="G289" s="39"/>
      <c r="H289" s="35"/>
      <c r="I289" s="60"/>
      <c r="J289" s="61"/>
      <c r="L289" s="37"/>
      <c r="P289" s="39"/>
      <c r="Q289" s="39"/>
      <c r="R289" s="33"/>
      <c r="S289" s="39"/>
      <c r="T289" s="39"/>
      <c r="U289" s="39"/>
      <c r="V289" s="39"/>
    </row>
    <row r="290" spans="2:22" ht="12.75" x14ac:dyDescent="0.2">
      <c r="B290" s="32"/>
      <c r="D290" s="59"/>
      <c r="E290" s="59"/>
      <c r="G290" s="39"/>
      <c r="H290" s="35"/>
      <c r="I290" s="60"/>
      <c r="J290" s="61"/>
      <c r="L290" s="37"/>
      <c r="P290" s="39"/>
      <c r="Q290" s="39"/>
      <c r="R290" s="33"/>
      <c r="S290" s="39"/>
      <c r="T290" s="39"/>
      <c r="U290" s="39"/>
      <c r="V290" s="39"/>
    </row>
    <row r="291" spans="2:22" ht="12.75" x14ac:dyDescent="0.2">
      <c r="B291" s="32"/>
      <c r="D291" s="59"/>
      <c r="E291" s="59"/>
      <c r="G291" s="39"/>
      <c r="H291" s="35"/>
      <c r="I291" s="60"/>
      <c r="J291" s="61"/>
      <c r="L291" s="37"/>
      <c r="P291" s="39"/>
      <c r="Q291" s="39"/>
      <c r="R291" s="33"/>
      <c r="S291" s="39"/>
      <c r="T291" s="39"/>
      <c r="U291" s="39"/>
      <c r="V291" s="39"/>
    </row>
    <row r="292" spans="2:22" ht="12.75" x14ac:dyDescent="0.2">
      <c r="B292" s="32"/>
      <c r="D292" s="59"/>
      <c r="E292" s="59"/>
      <c r="G292" s="39"/>
      <c r="H292" s="35"/>
      <c r="I292" s="60"/>
      <c r="J292" s="61"/>
      <c r="L292" s="37"/>
      <c r="P292" s="39"/>
      <c r="Q292" s="39"/>
      <c r="R292" s="33"/>
      <c r="S292" s="39"/>
      <c r="T292" s="39"/>
      <c r="U292" s="39"/>
      <c r="V292" s="39"/>
    </row>
    <row r="293" spans="2:22" ht="12.75" x14ac:dyDescent="0.2">
      <c r="B293" s="32"/>
      <c r="D293" s="59"/>
      <c r="E293" s="59"/>
      <c r="G293" s="39"/>
      <c r="H293" s="35"/>
      <c r="I293" s="60"/>
      <c r="J293" s="61"/>
      <c r="L293" s="37"/>
      <c r="P293" s="39"/>
      <c r="Q293" s="39"/>
      <c r="R293" s="33"/>
      <c r="S293" s="39"/>
      <c r="T293" s="39"/>
      <c r="U293" s="39"/>
      <c r="V293" s="39"/>
    </row>
    <row r="294" spans="2:22" ht="12.75" x14ac:dyDescent="0.2">
      <c r="B294" s="32"/>
      <c r="D294" s="59"/>
      <c r="E294" s="59"/>
      <c r="G294" s="39"/>
      <c r="H294" s="35"/>
      <c r="I294" s="60"/>
      <c r="J294" s="61"/>
      <c r="L294" s="37"/>
      <c r="P294" s="39"/>
      <c r="Q294" s="39"/>
      <c r="R294" s="33"/>
      <c r="S294" s="39"/>
      <c r="T294" s="39"/>
      <c r="U294" s="39"/>
      <c r="V294" s="39"/>
    </row>
    <row r="295" spans="2:22" ht="12.75" x14ac:dyDescent="0.2">
      <c r="B295" s="32"/>
      <c r="D295" s="59"/>
      <c r="E295" s="59"/>
      <c r="G295" s="39"/>
      <c r="H295" s="35"/>
      <c r="I295" s="60"/>
      <c r="J295" s="61"/>
      <c r="L295" s="37"/>
      <c r="P295" s="39"/>
      <c r="Q295" s="39"/>
      <c r="R295" s="33"/>
      <c r="S295" s="39"/>
      <c r="T295" s="39"/>
      <c r="U295" s="39"/>
      <c r="V295" s="39"/>
    </row>
    <row r="296" spans="2:22" ht="12.75" x14ac:dyDescent="0.2">
      <c r="B296" s="32"/>
      <c r="D296" s="59"/>
      <c r="E296" s="59"/>
      <c r="G296" s="39"/>
      <c r="H296" s="35"/>
      <c r="I296" s="60"/>
      <c r="J296" s="61"/>
      <c r="L296" s="37"/>
      <c r="P296" s="39"/>
      <c r="Q296" s="39"/>
      <c r="R296" s="33"/>
      <c r="S296" s="39"/>
      <c r="T296" s="39"/>
      <c r="U296" s="39"/>
      <c r="V296" s="39"/>
    </row>
    <row r="297" spans="2:22" ht="12.75" x14ac:dyDescent="0.2">
      <c r="B297" s="32"/>
      <c r="D297" s="59"/>
      <c r="E297" s="59"/>
      <c r="G297" s="39"/>
      <c r="H297" s="35"/>
      <c r="I297" s="60"/>
      <c r="J297" s="61"/>
      <c r="L297" s="37"/>
      <c r="P297" s="39"/>
      <c r="Q297" s="39"/>
      <c r="R297" s="33"/>
      <c r="S297" s="39"/>
      <c r="T297" s="39"/>
      <c r="U297" s="39"/>
      <c r="V297" s="39"/>
    </row>
    <row r="298" spans="2:22" ht="12.75" x14ac:dyDescent="0.2">
      <c r="B298" s="32"/>
      <c r="D298" s="59"/>
      <c r="E298" s="59"/>
      <c r="G298" s="39"/>
      <c r="H298" s="35"/>
      <c r="I298" s="60"/>
      <c r="J298" s="61"/>
      <c r="L298" s="37"/>
      <c r="P298" s="39"/>
      <c r="Q298" s="39"/>
      <c r="R298" s="33"/>
      <c r="S298" s="39"/>
      <c r="T298" s="39"/>
      <c r="U298" s="39"/>
      <c r="V298" s="39"/>
    </row>
    <row r="299" spans="2:22" ht="12.75" x14ac:dyDescent="0.2">
      <c r="B299" s="32"/>
      <c r="D299" s="59"/>
      <c r="E299" s="59"/>
      <c r="G299" s="39"/>
      <c r="H299" s="35"/>
      <c r="I299" s="60"/>
      <c r="J299" s="61"/>
      <c r="L299" s="37"/>
      <c r="P299" s="39"/>
      <c r="Q299" s="39"/>
      <c r="R299" s="33"/>
      <c r="S299" s="39"/>
      <c r="T299" s="39"/>
      <c r="U299" s="39"/>
      <c r="V299" s="39"/>
    </row>
    <row r="300" spans="2:22" ht="12.75" x14ac:dyDescent="0.2">
      <c r="B300" s="32"/>
      <c r="D300" s="59"/>
      <c r="E300" s="59"/>
      <c r="G300" s="39"/>
      <c r="H300" s="35"/>
      <c r="I300" s="60"/>
      <c r="J300" s="61"/>
      <c r="L300" s="37"/>
      <c r="P300" s="39"/>
      <c r="Q300" s="39"/>
      <c r="R300" s="33"/>
      <c r="S300" s="39"/>
      <c r="T300" s="39"/>
      <c r="U300" s="39"/>
      <c r="V300" s="39"/>
    </row>
    <row r="301" spans="2:22" ht="12.75" x14ac:dyDescent="0.2">
      <c r="B301" s="32"/>
      <c r="D301" s="59"/>
      <c r="E301" s="59"/>
      <c r="G301" s="39"/>
      <c r="H301" s="35"/>
      <c r="I301" s="60"/>
      <c r="J301" s="61"/>
      <c r="L301" s="37"/>
      <c r="P301" s="39"/>
      <c r="Q301" s="39"/>
      <c r="R301" s="33"/>
      <c r="S301" s="39"/>
      <c r="T301" s="39"/>
      <c r="U301" s="39"/>
      <c r="V301" s="39"/>
    </row>
    <row r="302" spans="2:22" ht="12.75" x14ac:dyDescent="0.2">
      <c r="B302" s="32"/>
      <c r="D302" s="59"/>
      <c r="E302" s="59"/>
      <c r="G302" s="39"/>
      <c r="H302" s="35"/>
      <c r="I302" s="60"/>
      <c r="J302" s="61"/>
      <c r="L302" s="37"/>
      <c r="P302" s="39"/>
      <c r="Q302" s="39"/>
      <c r="R302" s="33"/>
      <c r="S302" s="39"/>
      <c r="T302" s="39"/>
      <c r="U302" s="39"/>
      <c r="V302" s="39"/>
    </row>
    <row r="303" spans="2:22" ht="12.75" x14ac:dyDescent="0.2">
      <c r="B303" s="32"/>
      <c r="D303" s="59"/>
      <c r="E303" s="59"/>
      <c r="G303" s="39"/>
      <c r="H303" s="35"/>
      <c r="I303" s="60"/>
      <c r="J303" s="61"/>
      <c r="L303" s="37"/>
      <c r="P303" s="39"/>
      <c r="Q303" s="39"/>
      <c r="R303" s="33"/>
      <c r="S303" s="39"/>
      <c r="T303" s="39"/>
      <c r="U303" s="39"/>
      <c r="V303" s="39"/>
    </row>
    <row r="304" spans="2:22" ht="12.75" x14ac:dyDescent="0.2">
      <c r="B304" s="32"/>
      <c r="D304" s="59"/>
      <c r="E304" s="59"/>
      <c r="G304" s="39"/>
      <c r="H304" s="35"/>
      <c r="I304" s="60"/>
      <c r="J304" s="61"/>
      <c r="L304" s="37"/>
      <c r="P304" s="39"/>
      <c r="Q304" s="39"/>
      <c r="R304" s="33"/>
      <c r="S304" s="39"/>
      <c r="T304" s="39"/>
      <c r="U304" s="39"/>
      <c r="V304" s="39"/>
    </row>
    <row r="305" spans="2:22" ht="12.75" x14ac:dyDescent="0.2">
      <c r="B305" s="32"/>
      <c r="D305" s="59"/>
      <c r="E305" s="59"/>
      <c r="G305" s="39"/>
      <c r="H305" s="35"/>
      <c r="I305" s="60"/>
      <c r="J305" s="61"/>
      <c r="L305" s="37"/>
      <c r="P305" s="39"/>
      <c r="Q305" s="39"/>
      <c r="R305" s="33"/>
      <c r="S305" s="39"/>
      <c r="T305" s="39"/>
      <c r="U305" s="39"/>
      <c r="V305" s="39"/>
    </row>
    <row r="306" spans="2:22" ht="12.75" x14ac:dyDescent="0.2">
      <c r="B306" s="32"/>
      <c r="D306" s="59"/>
      <c r="E306" s="59"/>
      <c r="G306" s="39"/>
      <c r="H306" s="35"/>
      <c r="I306" s="60"/>
      <c r="J306" s="61"/>
      <c r="L306" s="37"/>
      <c r="P306" s="39"/>
      <c r="Q306" s="39"/>
      <c r="R306" s="33"/>
      <c r="S306" s="39"/>
      <c r="T306" s="39"/>
      <c r="U306" s="39"/>
      <c r="V306" s="39"/>
    </row>
    <row r="307" spans="2:22" ht="12.75" x14ac:dyDescent="0.2">
      <c r="B307" s="32"/>
      <c r="D307" s="59"/>
      <c r="E307" s="59"/>
      <c r="G307" s="39"/>
      <c r="H307" s="35"/>
      <c r="I307" s="60"/>
      <c r="J307" s="61"/>
      <c r="L307" s="37"/>
      <c r="P307" s="39"/>
      <c r="Q307" s="39"/>
      <c r="R307" s="33"/>
      <c r="S307" s="39"/>
      <c r="T307" s="39"/>
      <c r="U307" s="39"/>
      <c r="V307" s="39"/>
    </row>
    <row r="308" spans="2:22" ht="12.75" x14ac:dyDescent="0.2">
      <c r="B308" s="32"/>
      <c r="D308" s="59"/>
      <c r="E308" s="59"/>
      <c r="G308" s="39"/>
      <c r="H308" s="35"/>
      <c r="I308" s="60"/>
      <c r="J308" s="61"/>
      <c r="L308" s="37"/>
      <c r="P308" s="39"/>
      <c r="Q308" s="39"/>
      <c r="R308" s="33"/>
      <c r="S308" s="39"/>
      <c r="T308" s="39"/>
      <c r="U308" s="39"/>
      <c r="V308" s="39"/>
    </row>
    <row r="309" spans="2:22" ht="12.75" x14ac:dyDescent="0.2">
      <c r="B309" s="32"/>
      <c r="D309" s="59"/>
      <c r="E309" s="59"/>
      <c r="G309" s="39"/>
      <c r="H309" s="35"/>
      <c r="I309" s="60"/>
      <c r="J309" s="61"/>
      <c r="L309" s="37"/>
      <c r="P309" s="39"/>
      <c r="Q309" s="39"/>
      <c r="R309" s="33"/>
      <c r="S309" s="39"/>
      <c r="T309" s="39"/>
      <c r="U309" s="39"/>
      <c r="V309" s="39"/>
    </row>
    <row r="310" spans="2:22" ht="12.75" x14ac:dyDescent="0.2">
      <c r="B310" s="32"/>
      <c r="D310" s="59"/>
      <c r="E310" s="59"/>
      <c r="G310" s="39"/>
      <c r="H310" s="35"/>
      <c r="I310" s="60"/>
      <c r="J310" s="61"/>
      <c r="L310" s="37"/>
      <c r="P310" s="39"/>
      <c r="Q310" s="39"/>
      <c r="R310" s="33"/>
      <c r="S310" s="39"/>
      <c r="T310" s="39"/>
      <c r="U310" s="39"/>
      <c r="V310" s="39"/>
    </row>
    <row r="311" spans="2:22" ht="12.75" x14ac:dyDescent="0.2">
      <c r="B311" s="32"/>
      <c r="D311" s="59"/>
      <c r="E311" s="59"/>
      <c r="G311" s="39"/>
      <c r="H311" s="35"/>
      <c r="I311" s="60"/>
      <c r="J311" s="61"/>
      <c r="L311" s="37"/>
      <c r="P311" s="39"/>
      <c r="Q311" s="39"/>
      <c r="R311" s="33"/>
      <c r="S311" s="39"/>
      <c r="T311" s="39"/>
      <c r="U311" s="39"/>
      <c r="V311" s="39"/>
    </row>
    <row r="312" spans="2:22" ht="12.75" x14ac:dyDescent="0.2">
      <c r="B312" s="32"/>
      <c r="D312" s="59"/>
      <c r="E312" s="59"/>
      <c r="G312" s="39"/>
      <c r="H312" s="35"/>
      <c r="I312" s="60"/>
      <c r="J312" s="61"/>
      <c r="L312" s="37"/>
      <c r="P312" s="39"/>
      <c r="Q312" s="39"/>
      <c r="R312" s="33"/>
      <c r="S312" s="39"/>
      <c r="T312" s="39"/>
      <c r="U312" s="39"/>
      <c r="V312" s="39"/>
    </row>
    <row r="313" spans="2:22" ht="12.75" x14ac:dyDescent="0.2">
      <c r="B313" s="32"/>
      <c r="D313" s="59"/>
      <c r="E313" s="59"/>
      <c r="G313" s="39"/>
      <c r="H313" s="35"/>
      <c r="I313" s="60"/>
      <c r="J313" s="61"/>
      <c r="L313" s="37"/>
      <c r="P313" s="39"/>
      <c r="Q313" s="39"/>
      <c r="R313" s="33"/>
      <c r="S313" s="39"/>
      <c r="T313" s="39"/>
      <c r="U313" s="39"/>
      <c r="V313" s="39"/>
    </row>
    <row r="314" spans="2:22" ht="12.75" x14ac:dyDescent="0.2">
      <c r="B314" s="32"/>
      <c r="D314" s="59"/>
      <c r="E314" s="59"/>
      <c r="G314" s="39"/>
      <c r="H314" s="35"/>
      <c r="I314" s="60"/>
      <c r="J314" s="61"/>
      <c r="L314" s="37"/>
      <c r="P314" s="39"/>
      <c r="Q314" s="39"/>
      <c r="R314" s="33"/>
      <c r="S314" s="39"/>
      <c r="T314" s="39"/>
      <c r="U314" s="39"/>
      <c r="V314" s="39"/>
    </row>
    <row r="315" spans="2:22" ht="12.75" x14ac:dyDescent="0.2">
      <c r="B315" s="32"/>
      <c r="D315" s="59"/>
      <c r="E315" s="59"/>
      <c r="G315" s="39"/>
      <c r="H315" s="35"/>
      <c r="I315" s="60"/>
      <c r="J315" s="61"/>
      <c r="L315" s="37"/>
      <c r="P315" s="39"/>
      <c r="Q315" s="39"/>
      <c r="R315" s="33"/>
      <c r="S315" s="39"/>
      <c r="T315" s="39"/>
      <c r="U315" s="39"/>
      <c r="V315" s="39"/>
    </row>
    <row r="316" spans="2:22" ht="12.75" x14ac:dyDescent="0.2">
      <c r="B316" s="32"/>
      <c r="D316" s="59"/>
      <c r="E316" s="59"/>
      <c r="G316" s="39"/>
      <c r="H316" s="35"/>
      <c r="I316" s="60"/>
      <c r="J316" s="61"/>
      <c r="L316" s="37"/>
      <c r="P316" s="39"/>
      <c r="Q316" s="39"/>
      <c r="R316" s="33"/>
      <c r="S316" s="39"/>
      <c r="T316" s="39"/>
      <c r="U316" s="39"/>
      <c r="V316" s="39"/>
    </row>
    <row r="317" spans="2:22" ht="12.75" x14ac:dyDescent="0.2">
      <c r="B317" s="32"/>
      <c r="D317" s="59"/>
      <c r="E317" s="59"/>
      <c r="G317" s="39"/>
      <c r="H317" s="35"/>
      <c r="I317" s="60"/>
      <c r="J317" s="61"/>
      <c r="L317" s="37"/>
      <c r="P317" s="39"/>
      <c r="Q317" s="39"/>
      <c r="R317" s="33"/>
      <c r="S317" s="39"/>
      <c r="T317" s="39"/>
      <c r="U317" s="39"/>
      <c r="V317" s="39"/>
    </row>
    <row r="318" spans="2:22" ht="12.75" x14ac:dyDescent="0.2">
      <c r="B318" s="32"/>
      <c r="D318" s="59"/>
      <c r="E318" s="59"/>
      <c r="G318" s="39"/>
      <c r="H318" s="35"/>
      <c r="I318" s="60"/>
      <c r="J318" s="61"/>
      <c r="L318" s="37"/>
      <c r="P318" s="39"/>
      <c r="Q318" s="39"/>
      <c r="R318" s="33"/>
      <c r="S318" s="39"/>
      <c r="T318" s="39"/>
      <c r="U318" s="39"/>
      <c r="V318" s="39"/>
    </row>
    <row r="319" spans="2:22" ht="12.75" x14ac:dyDescent="0.2">
      <c r="B319" s="32"/>
      <c r="D319" s="59"/>
      <c r="E319" s="59"/>
      <c r="G319" s="39"/>
      <c r="H319" s="35"/>
      <c r="I319" s="60"/>
      <c r="J319" s="61"/>
      <c r="L319" s="37"/>
      <c r="P319" s="39"/>
      <c r="Q319" s="39"/>
      <c r="R319" s="33"/>
      <c r="S319" s="39"/>
      <c r="T319" s="39"/>
      <c r="U319" s="39"/>
      <c r="V319" s="39"/>
    </row>
    <row r="320" spans="2:22" ht="12.75" x14ac:dyDescent="0.2">
      <c r="B320" s="32"/>
      <c r="D320" s="59"/>
      <c r="E320" s="59"/>
      <c r="G320" s="39"/>
      <c r="H320" s="35"/>
      <c r="I320" s="60"/>
      <c r="J320" s="61"/>
      <c r="L320" s="37"/>
      <c r="P320" s="39"/>
      <c r="Q320" s="39"/>
      <c r="R320" s="33"/>
      <c r="S320" s="39"/>
      <c r="T320" s="39"/>
      <c r="U320" s="39"/>
      <c r="V320" s="39"/>
    </row>
    <row r="321" spans="2:22" ht="12.75" x14ac:dyDescent="0.2">
      <c r="B321" s="32"/>
      <c r="D321" s="59"/>
      <c r="E321" s="59"/>
      <c r="G321" s="39"/>
      <c r="H321" s="35"/>
      <c r="I321" s="60"/>
      <c r="J321" s="61"/>
      <c r="L321" s="37"/>
      <c r="P321" s="39"/>
      <c r="Q321" s="39"/>
      <c r="R321" s="33"/>
      <c r="S321" s="39"/>
      <c r="T321" s="39"/>
      <c r="U321" s="39"/>
      <c r="V321" s="39"/>
    </row>
    <row r="322" spans="2:22" ht="12.75" x14ac:dyDescent="0.2">
      <c r="B322" s="32"/>
      <c r="D322" s="59"/>
      <c r="E322" s="59"/>
      <c r="G322" s="39"/>
      <c r="H322" s="35"/>
      <c r="I322" s="60"/>
      <c r="J322" s="61"/>
      <c r="L322" s="37"/>
      <c r="P322" s="39"/>
      <c r="Q322" s="39"/>
      <c r="R322" s="33"/>
      <c r="S322" s="39"/>
      <c r="T322" s="39"/>
      <c r="U322" s="39"/>
      <c r="V322" s="39"/>
    </row>
    <row r="323" spans="2:22" ht="12.75" x14ac:dyDescent="0.2">
      <c r="B323" s="32"/>
      <c r="D323" s="59"/>
      <c r="E323" s="59"/>
      <c r="G323" s="39"/>
      <c r="H323" s="35"/>
      <c r="I323" s="60"/>
      <c r="J323" s="61"/>
      <c r="L323" s="37"/>
      <c r="P323" s="39"/>
      <c r="Q323" s="39"/>
      <c r="R323" s="33"/>
      <c r="S323" s="39"/>
      <c r="T323" s="39"/>
      <c r="U323" s="39"/>
      <c r="V323" s="39"/>
    </row>
    <row r="324" spans="2:22" ht="12.75" x14ac:dyDescent="0.2">
      <c r="B324" s="32"/>
      <c r="D324" s="59"/>
      <c r="E324" s="59"/>
      <c r="G324" s="39"/>
      <c r="H324" s="35"/>
      <c r="I324" s="60"/>
      <c r="J324" s="61"/>
      <c r="L324" s="37"/>
      <c r="P324" s="39"/>
      <c r="Q324" s="39"/>
      <c r="R324" s="33"/>
      <c r="S324" s="39"/>
      <c r="T324" s="39"/>
      <c r="U324" s="39"/>
      <c r="V324" s="39"/>
    </row>
    <row r="325" spans="2:22" ht="12.75" x14ac:dyDescent="0.2">
      <c r="B325" s="32"/>
      <c r="D325" s="59"/>
      <c r="E325" s="59"/>
      <c r="G325" s="39"/>
      <c r="H325" s="35"/>
      <c r="I325" s="60"/>
      <c r="J325" s="61"/>
      <c r="L325" s="37"/>
      <c r="P325" s="39"/>
      <c r="Q325" s="39"/>
      <c r="R325" s="33"/>
      <c r="S325" s="39"/>
      <c r="T325" s="39"/>
      <c r="U325" s="39"/>
      <c r="V325" s="39"/>
    </row>
    <row r="326" spans="2:22" ht="12.75" x14ac:dyDescent="0.2">
      <c r="B326" s="32"/>
      <c r="D326" s="59"/>
      <c r="E326" s="59"/>
      <c r="G326" s="39"/>
      <c r="H326" s="35"/>
      <c r="I326" s="60"/>
      <c r="J326" s="61"/>
      <c r="L326" s="37"/>
      <c r="P326" s="39"/>
      <c r="Q326" s="39"/>
      <c r="R326" s="33"/>
      <c r="S326" s="39"/>
      <c r="T326" s="39"/>
      <c r="U326" s="39"/>
      <c r="V326" s="39"/>
    </row>
    <row r="327" spans="2:22" ht="12.75" x14ac:dyDescent="0.2">
      <c r="B327" s="32"/>
      <c r="D327" s="59"/>
      <c r="E327" s="59"/>
      <c r="G327" s="39"/>
      <c r="H327" s="35"/>
      <c r="I327" s="60"/>
      <c r="J327" s="61"/>
      <c r="L327" s="37"/>
      <c r="P327" s="39"/>
      <c r="Q327" s="39"/>
      <c r="R327" s="33"/>
      <c r="S327" s="39"/>
      <c r="T327" s="39"/>
      <c r="U327" s="39"/>
      <c r="V327" s="39"/>
    </row>
    <row r="328" spans="2:22" ht="12.75" x14ac:dyDescent="0.2">
      <c r="B328" s="32"/>
      <c r="D328" s="59"/>
      <c r="E328" s="59"/>
      <c r="G328" s="39"/>
      <c r="H328" s="35"/>
      <c r="I328" s="60"/>
      <c r="J328" s="61"/>
      <c r="L328" s="37"/>
      <c r="P328" s="39"/>
      <c r="Q328" s="39"/>
      <c r="R328" s="33"/>
      <c r="S328" s="39"/>
      <c r="T328" s="39"/>
      <c r="U328" s="39"/>
      <c r="V328" s="39"/>
    </row>
    <row r="329" spans="2:22" ht="12.75" x14ac:dyDescent="0.2">
      <c r="B329" s="32"/>
      <c r="D329" s="59"/>
      <c r="E329" s="59"/>
      <c r="G329" s="39"/>
      <c r="H329" s="35"/>
      <c r="I329" s="60"/>
      <c r="J329" s="61"/>
      <c r="L329" s="37"/>
      <c r="P329" s="39"/>
      <c r="Q329" s="39"/>
      <c r="R329" s="33"/>
      <c r="S329" s="39"/>
      <c r="T329" s="39"/>
      <c r="U329" s="39"/>
      <c r="V329" s="39"/>
    </row>
    <row r="330" spans="2:22" ht="12.75" x14ac:dyDescent="0.2">
      <c r="B330" s="32"/>
      <c r="D330" s="59"/>
      <c r="E330" s="59"/>
      <c r="G330" s="39"/>
      <c r="H330" s="35"/>
      <c r="I330" s="60"/>
      <c r="J330" s="61"/>
      <c r="L330" s="37"/>
      <c r="P330" s="39"/>
      <c r="Q330" s="39"/>
      <c r="R330" s="33"/>
      <c r="S330" s="39"/>
      <c r="T330" s="39"/>
      <c r="U330" s="39"/>
      <c r="V330" s="39"/>
    </row>
    <row r="331" spans="2:22" ht="12.75" x14ac:dyDescent="0.2">
      <c r="B331" s="32"/>
      <c r="D331" s="59"/>
      <c r="E331" s="59"/>
      <c r="G331" s="39"/>
      <c r="H331" s="35"/>
      <c r="I331" s="60"/>
      <c r="J331" s="61"/>
      <c r="L331" s="37"/>
      <c r="P331" s="39"/>
      <c r="Q331" s="39"/>
      <c r="R331" s="33"/>
      <c r="S331" s="39"/>
      <c r="T331" s="39"/>
      <c r="U331" s="39"/>
      <c r="V331" s="39"/>
    </row>
    <row r="332" spans="2:22" ht="12.75" x14ac:dyDescent="0.2">
      <c r="B332" s="32"/>
      <c r="D332" s="59"/>
      <c r="E332" s="59"/>
      <c r="G332" s="39"/>
      <c r="H332" s="35"/>
      <c r="I332" s="60"/>
      <c r="J332" s="61"/>
      <c r="L332" s="37"/>
      <c r="P332" s="39"/>
      <c r="Q332" s="39"/>
      <c r="R332" s="33"/>
      <c r="S332" s="39"/>
      <c r="T332" s="39"/>
      <c r="U332" s="39"/>
      <c r="V332" s="39"/>
    </row>
    <row r="333" spans="2:22" ht="12.75" x14ac:dyDescent="0.2">
      <c r="B333" s="32"/>
      <c r="D333" s="59"/>
      <c r="E333" s="59"/>
      <c r="G333" s="39"/>
      <c r="H333" s="35"/>
      <c r="I333" s="60"/>
      <c r="J333" s="61"/>
      <c r="L333" s="37"/>
      <c r="P333" s="39"/>
      <c r="Q333" s="39"/>
      <c r="R333" s="33"/>
      <c r="S333" s="39"/>
      <c r="T333" s="39"/>
      <c r="U333" s="39"/>
      <c r="V333" s="39"/>
    </row>
    <row r="334" spans="2:22" ht="12.75" x14ac:dyDescent="0.2">
      <c r="B334" s="32"/>
      <c r="D334" s="59"/>
      <c r="E334" s="59"/>
      <c r="G334" s="39"/>
      <c r="H334" s="35"/>
      <c r="I334" s="60"/>
      <c r="J334" s="61"/>
      <c r="L334" s="37"/>
      <c r="P334" s="39"/>
      <c r="Q334" s="39"/>
      <c r="R334" s="33"/>
      <c r="S334" s="39"/>
      <c r="T334" s="39"/>
      <c r="U334" s="39"/>
      <c r="V334" s="39"/>
    </row>
    <row r="335" spans="2:22" ht="12.75" x14ac:dyDescent="0.2">
      <c r="B335" s="32"/>
      <c r="D335" s="59"/>
      <c r="E335" s="59"/>
      <c r="G335" s="39"/>
      <c r="H335" s="35"/>
      <c r="I335" s="60"/>
      <c r="J335" s="61"/>
      <c r="L335" s="37"/>
      <c r="P335" s="39"/>
      <c r="Q335" s="39"/>
      <c r="R335" s="33"/>
      <c r="S335" s="39"/>
      <c r="T335" s="39"/>
      <c r="U335" s="39"/>
      <c r="V335" s="39"/>
    </row>
    <row r="336" spans="2:22" ht="12.75" x14ac:dyDescent="0.2">
      <c r="B336" s="32"/>
      <c r="D336" s="59"/>
      <c r="E336" s="59"/>
      <c r="G336" s="39"/>
      <c r="H336" s="35"/>
      <c r="I336" s="60"/>
      <c r="J336" s="61"/>
      <c r="L336" s="37"/>
      <c r="P336" s="39"/>
      <c r="Q336" s="39"/>
      <c r="R336" s="33"/>
      <c r="S336" s="39"/>
      <c r="T336" s="39"/>
      <c r="U336" s="39"/>
      <c r="V336" s="39"/>
    </row>
    <row r="337" spans="2:22" ht="12.75" x14ac:dyDescent="0.2">
      <c r="B337" s="32"/>
      <c r="D337" s="59"/>
      <c r="E337" s="59"/>
      <c r="G337" s="39"/>
      <c r="H337" s="35"/>
      <c r="I337" s="60"/>
      <c r="J337" s="61"/>
      <c r="L337" s="37"/>
      <c r="P337" s="39"/>
      <c r="Q337" s="39"/>
      <c r="R337" s="33"/>
      <c r="S337" s="39"/>
      <c r="T337" s="39"/>
      <c r="U337" s="39"/>
      <c r="V337" s="39"/>
    </row>
    <row r="338" spans="2:22" ht="12.75" x14ac:dyDescent="0.2">
      <c r="B338" s="32"/>
      <c r="D338" s="59"/>
      <c r="E338" s="59"/>
      <c r="G338" s="39"/>
      <c r="H338" s="35"/>
      <c r="I338" s="60"/>
      <c r="J338" s="61"/>
      <c r="L338" s="37"/>
      <c r="P338" s="39"/>
      <c r="Q338" s="39"/>
      <c r="R338" s="33"/>
      <c r="S338" s="39"/>
      <c r="T338" s="39"/>
      <c r="U338" s="39"/>
      <c r="V338" s="39"/>
    </row>
    <row r="339" spans="2:22" ht="12.75" x14ac:dyDescent="0.2">
      <c r="B339" s="32"/>
      <c r="D339" s="59"/>
      <c r="E339" s="59"/>
      <c r="G339" s="39"/>
      <c r="H339" s="35"/>
      <c r="I339" s="60"/>
      <c r="J339" s="61"/>
      <c r="L339" s="37"/>
      <c r="P339" s="39"/>
      <c r="Q339" s="39"/>
      <c r="R339" s="33"/>
      <c r="S339" s="39"/>
      <c r="T339" s="39"/>
      <c r="U339" s="39"/>
      <c r="V339" s="39"/>
    </row>
    <row r="340" spans="2:22" ht="12.75" x14ac:dyDescent="0.2">
      <c r="B340" s="32"/>
      <c r="D340" s="59"/>
      <c r="E340" s="59"/>
      <c r="G340" s="39"/>
      <c r="H340" s="35"/>
      <c r="I340" s="60"/>
      <c r="J340" s="61"/>
      <c r="L340" s="37"/>
      <c r="P340" s="39"/>
      <c r="Q340" s="39"/>
      <c r="R340" s="33"/>
      <c r="S340" s="39"/>
      <c r="T340" s="39"/>
      <c r="U340" s="39"/>
      <c r="V340" s="39"/>
    </row>
    <row r="341" spans="2:22" ht="12.75" x14ac:dyDescent="0.2">
      <c r="B341" s="32"/>
      <c r="D341" s="59"/>
      <c r="E341" s="59"/>
      <c r="G341" s="39"/>
      <c r="H341" s="35"/>
      <c r="I341" s="60"/>
      <c r="J341" s="61"/>
      <c r="L341" s="37"/>
      <c r="P341" s="39"/>
      <c r="Q341" s="39"/>
      <c r="R341" s="33"/>
      <c r="S341" s="39"/>
      <c r="T341" s="39"/>
      <c r="U341" s="39"/>
      <c r="V341" s="39"/>
    </row>
    <row r="342" spans="2:22" ht="12.75" x14ac:dyDescent="0.2">
      <c r="B342" s="32"/>
      <c r="D342" s="59"/>
      <c r="E342" s="59"/>
      <c r="G342" s="39"/>
      <c r="H342" s="35"/>
      <c r="I342" s="60"/>
      <c r="J342" s="61"/>
      <c r="L342" s="37"/>
      <c r="P342" s="39"/>
      <c r="Q342" s="39"/>
      <c r="R342" s="33"/>
      <c r="S342" s="39"/>
      <c r="T342" s="39"/>
      <c r="U342" s="39"/>
      <c r="V342" s="39"/>
    </row>
    <row r="343" spans="2:22" ht="12.75" x14ac:dyDescent="0.2">
      <c r="B343" s="32"/>
      <c r="D343" s="59"/>
      <c r="E343" s="59"/>
      <c r="G343" s="39"/>
      <c r="H343" s="35"/>
      <c r="I343" s="60"/>
      <c r="J343" s="61"/>
      <c r="L343" s="37"/>
      <c r="P343" s="39"/>
      <c r="Q343" s="39"/>
      <c r="R343" s="33"/>
      <c r="S343" s="39"/>
      <c r="T343" s="39"/>
      <c r="U343" s="39"/>
      <c r="V343" s="39"/>
    </row>
    <row r="344" spans="2:22" ht="12.75" x14ac:dyDescent="0.2">
      <c r="B344" s="32"/>
      <c r="D344" s="59"/>
      <c r="E344" s="59"/>
      <c r="G344" s="39"/>
      <c r="H344" s="35"/>
      <c r="I344" s="60"/>
      <c r="J344" s="61"/>
      <c r="L344" s="37"/>
      <c r="P344" s="39"/>
      <c r="Q344" s="39"/>
      <c r="R344" s="33"/>
      <c r="S344" s="39"/>
      <c r="T344" s="39"/>
      <c r="U344" s="39"/>
      <c r="V344" s="39"/>
    </row>
    <row r="345" spans="2:22" ht="12.75" x14ac:dyDescent="0.2">
      <c r="B345" s="32"/>
      <c r="D345" s="59"/>
      <c r="E345" s="59"/>
      <c r="G345" s="39"/>
      <c r="H345" s="35"/>
      <c r="I345" s="60"/>
      <c r="J345" s="61"/>
      <c r="L345" s="37"/>
      <c r="P345" s="39"/>
      <c r="Q345" s="39"/>
      <c r="R345" s="33"/>
      <c r="S345" s="39"/>
      <c r="T345" s="39"/>
      <c r="U345" s="39"/>
      <c r="V345" s="39"/>
    </row>
    <row r="346" spans="2:22" ht="12.75" x14ac:dyDescent="0.2">
      <c r="B346" s="32"/>
      <c r="D346" s="59"/>
      <c r="E346" s="59"/>
      <c r="G346" s="39"/>
      <c r="H346" s="35"/>
      <c r="I346" s="60"/>
      <c r="J346" s="61"/>
      <c r="L346" s="37"/>
      <c r="P346" s="39"/>
      <c r="Q346" s="39"/>
      <c r="R346" s="33"/>
      <c r="S346" s="39"/>
      <c r="T346" s="39"/>
      <c r="U346" s="39"/>
      <c r="V346" s="39"/>
    </row>
    <row r="347" spans="2:22" ht="12.75" x14ac:dyDescent="0.2">
      <c r="B347" s="32"/>
      <c r="D347" s="59"/>
      <c r="E347" s="59"/>
      <c r="G347" s="39"/>
      <c r="H347" s="35"/>
      <c r="I347" s="60"/>
      <c r="J347" s="61"/>
      <c r="L347" s="37"/>
      <c r="P347" s="39"/>
      <c r="Q347" s="39"/>
      <c r="R347" s="33"/>
      <c r="S347" s="39"/>
      <c r="T347" s="39"/>
      <c r="U347" s="39"/>
      <c r="V347" s="39"/>
    </row>
    <row r="348" spans="2:22" ht="12.75" x14ac:dyDescent="0.2">
      <c r="B348" s="32"/>
      <c r="D348" s="59"/>
      <c r="E348" s="59"/>
      <c r="G348" s="39"/>
      <c r="H348" s="35"/>
      <c r="I348" s="60"/>
      <c r="J348" s="61"/>
      <c r="L348" s="37"/>
      <c r="P348" s="39"/>
      <c r="Q348" s="39"/>
      <c r="R348" s="33"/>
      <c r="S348" s="39"/>
      <c r="T348" s="39"/>
      <c r="U348" s="39"/>
      <c r="V348" s="39"/>
    </row>
    <row r="349" spans="2:22" ht="12.75" x14ac:dyDescent="0.2">
      <c r="B349" s="32"/>
      <c r="D349" s="59"/>
      <c r="E349" s="59"/>
      <c r="G349" s="39"/>
      <c r="H349" s="35"/>
      <c r="I349" s="60"/>
      <c r="J349" s="61"/>
      <c r="L349" s="37"/>
      <c r="P349" s="39"/>
      <c r="Q349" s="39"/>
      <c r="R349" s="33"/>
      <c r="S349" s="39"/>
      <c r="T349" s="39"/>
      <c r="U349" s="39"/>
      <c r="V349" s="39"/>
    </row>
    <row r="350" spans="2:22" ht="12.75" x14ac:dyDescent="0.2">
      <c r="B350" s="32"/>
      <c r="D350" s="59"/>
      <c r="E350" s="59"/>
      <c r="G350" s="39"/>
      <c r="H350" s="35"/>
      <c r="I350" s="60"/>
      <c r="J350" s="61"/>
      <c r="L350" s="37"/>
      <c r="P350" s="39"/>
      <c r="Q350" s="39"/>
      <c r="R350" s="33"/>
      <c r="S350" s="39"/>
      <c r="T350" s="39"/>
      <c r="U350" s="39"/>
      <c r="V350" s="39"/>
    </row>
    <row r="351" spans="2:22" ht="12.75" x14ac:dyDescent="0.2">
      <c r="B351" s="32"/>
      <c r="D351" s="59"/>
      <c r="E351" s="59"/>
      <c r="G351" s="39"/>
      <c r="H351" s="35"/>
      <c r="I351" s="60"/>
      <c r="J351" s="61"/>
      <c r="L351" s="37"/>
      <c r="P351" s="39"/>
      <c r="Q351" s="39"/>
      <c r="R351" s="33"/>
      <c r="S351" s="39"/>
      <c r="T351" s="39"/>
      <c r="U351" s="39"/>
      <c r="V351" s="39"/>
    </row>
    <row r="352" spans="2:22" ht="12.75" x14ac:dyDescent="0.2">
      <c r="B352" s="32"/>
      <c r="D352" s="59"/>
      <c r="E352" s="59"/>
      <c r="G352" s="39"/>
      <c r="H352" s="35"/>
      <c r="I352" s="60"/>
      <c r="J352" s="61"/>
      <c r="L352" s="37"/>
      <c r="P352" s="39"/>
      <c r="Q352" s="39"/>
      <c r="R352" s="33"/>
      <c r="S352" s="39"/>
      <c r="T352" s="39"/>
      <c r="U352" s="39"/>
      <c r="V352" s="39"/>
    </row>
    <row r="353" spans="2:22" ht="12.75" x14ac:dyDescent="0.2">
      <c r="B353" s="32"/>
      <c r="D353" s="59"/>
      <c r="E353" s="59"/>
      <c r="G353" s="39"/>
      <c r="H353" s="35"/>
      <c r="I353" s="60"/>
      <c r="J353" s="61"/>
      <c r="L353" s="37"/>
      <c r="P353" s="39"/>
      <c r="Q353" s="39"/>
      <c r="R353" s="33"/>
      <c r="S353" s="39"/>
      <c r="T353" s="39"/>
      <c r="U353" s="39"/>
      <c r="V353" s="39"/>
    </row>
    <row r="354" spans="2:22" ht="12.75" x14ac:dyDescent="0.2">
      <c r="B354" s="32"/>
      <c r="D354" s="59"/>
      <c r="E354" s="59"/>
      <c r="G354" s="39"/>
      <c r="H354" s="35"/>
      <c r="I354" s="60"/>
      <c r="J354" s="61"/>
      <c r="L354" s="37"/>
      <c r="P354" s="39"/>
      <c r="Q354" s="39"/>
      <c r="R354" s="33"/>
      <c r="S354" s="39"/>
      <c r="T354" s="39"/>
      <c r="U354" s="39"/>
      <c r="V354" s="39"/>
    </row>
    <row r="355" spans="2:22" ht="12.75" x14ac:dyDescent="0.2">
      <c r="B355" s="32"/>
      <c r="D355" s="59"/>
      <c r="E355" s="59"/>
      <c r="G355" s="39"/>
      <c r="H355" s="35"/>
      <c r="I355" s="60"/>
      <c r="J355" s="61"/>
      <c r="L355" s="37"/>
      <c r="P355" s="39"/>
      <c r="Q355" s="39"/>
      <c r="R355" s="33"/>
      <c r="S355" s="39"/>
      <c r="T355" s="39"/>
      <c r="U355" s="39"/>
      <c r="V355" s="39"/>
    </row>
    <row r="356" spans="2:22" ht="12.75" x14ac:dyDescent="0.2">
      <c r="B356" s="32"/>
      <c r="D356" s="59"/>
      <c r="E356" s="59"/>
      <c r="G356" s="39"/>
      <c r="H356" s="35"/>
      <c r="I356" s="60"/>
      <c r="J356" s="61"/>
      <c r="L356" s="37"/>
      <c r="P356" s="39"/>
      <c r="Q356" s="39"/>
      <c r="R356" s="33"/>
      <c r="S356" s="39"/>
      <c r="T356" s="39"/>
      <c r="U356" s="39"/>
      <c r="V356" s="39"/>
    </row>
    <row r="357" spans="2:22" ht="12.75" x14ac:dyDescent="0.2">
      <c r="B357" s="32"/>
      <c r="D357" s="59"/>
      <c r="E357" s="59"/>
      <c r="G357" s="39"/>
      <c r="H357" s="35"/>
      <c r="I357" s="60"/>
      <c r="J357" s="61"/>
      <c r="L357" s="37"/>
      <c r="P357" s="39"/>
      <c r="Q357" s="39"/>
      <c r="R357" s="33"/>
      <c r="S357" s="39"/>
      <c r="T357" s="39"/>
      <c r="U357" s="39"/>
      <c r="V357" s="39"/>
    </row>
    <row r="358" spans="2:22" ht="12.75" x14ac:dyDescent="0.2">
      <c r="B358" s="32"/>
      <c r="D358" s="59"/>
      <c r="E358" s="59"/>
      <c r="G358" s="39"/>
      <c r="H358" s="35"/>
      <c r="I358" s="60"/>
      <c r="J358" s="61"/>
      <c r="L358" s="37"/>
      <c r="P358" s="39"/>
      <c r="Q358" s="39"/>
      <c r="R358" s="33"/>
      <c r="S358" s="39"/>
      <c r="T358" s="39"/>
      <c r="U358" s="39"/>
      <c r="V358" s="39"/>
    </row>
    <row r="359" spans="2:22" ht="12.75" x14ac:dyDescent="0.2">
      <c r="B359" s="32"/>
      <c r="D359" s="59"/>
      <c r="E359" s="59"/>
      <c r="G359" s="39"/>
      <c r="H359" s="35"/>
      <c r="I359" s="60"/>
      <c r="J359" s="61"/>
      <c r="L359" s="37"/>
      <c r="P359" s="39"/>
      <c r="Q359" s="39"/>
      <c r="R359" s="33"/>
      <c r="S359" s="39"/>
      <c r="T359" s="39"/>
      <c r="U359" s="39"/>
      <c r="V359" s="39"/>
    </row>
    <row r="360" spans="2:22" ht="12.75" x14ac:dyDescent="0.2">
      <c r="B360" s="32"/>
      <c r="D360" s="59"/>
      <c r="E360" s="59"/>
      <c r="G360" s="39"/>
      <c r="H360" s="35"/>
      <c r="I360" s="60"/>
      <c r="J360" s="61"/>
      <c r="L360" s="37"/>
      <c r="P360" s="39"/>
      <c r="Q360" s="39"/>
      <c r="R360" s="33"/>
      <c r="S360" s="39"/>
      <c r="T360" s="39"/>
      <c r="U360" s="39"/>
      <c r="V360" s="39"/>
    </row>
    <row r="361" spans="2:22" ht="12.75" x14ac:dyDescent="0.2">
      <c r="B361" s="32"/>
      <c r="D361" s="59"/>
      <c r="E361" s="59"/>
      <c r="G361" s="39"/>
      <c r="H361" s="35"/>
      <c r="I361" s="60"/>
      <c r="J361" s="61"/>
      <c r="L361" s="37"/>
      <c r="P361" s="39"/>
      <c r="Q361" s="39"/>
      <c r="R361" s="33"/>
      <c r="S361" s="39"/>
      <c r="T361" s="39"/>
      <c r="U361" s="39"/>
      <c r="V361" s="39"/>
    </row>
    <row r="362" spans="2:22" ht="12.75" x14ac:dyDescent="0.2">
      <c r="B362" s="32"/>
      <c r="D362" s="59"/>
      <c r="E362" s="59"/>
      <c r="G362" s="39"/>
      <c r="H362" s="35"/>
      <c r="I362" s="60"/>
      <c r="J362" s="61"/>
      <c r="L362" s="37"/>
      <c r="P362" s="39"/>
      <c r="Q362" s="39"/>
      <c r="R362" s="33"/>
      <c r="S362" s="39"/>
      <c r="T362" s="39"/>
      <c r="U362" s="39"/>
      <c r="V362" s="39"/>
    </row>
    <row r="363" spans="2:22" ht="12.75" x14ac:dyDescent="0.2">
      <c r="B363" s="32"/>
      <c r="D363" s="59"/>
      <c r="E363" s="59"/>
      <c r="G363" s="39"/>
      <c r="H363" s="35"/>
      <c r="I363" s="60"/>
      <c r="J363" s="61"/>
      <c r="L363" s="37"/>
      <c r="P363" s="39"/>
      <c r="Q363" s="39"/>
      <c r="R363" s="33"/>
      <c r="S363" s="39"/>
      <c r="T363" s="39"/>
      <c r="U363" s="39"/>
      <c r="V363" s="39"/>
    </row>
    <row r="364" spans="2:22" ht="12.75" x14ac:dyDescent="0.2">
      <c r="B364" s="32"/>
      <c r="D364" s="59"/>
      <c r="E364" s="59"/>
      <c r="G364" s="39"/>
      <c r="H364" s="35"/>
      <c r="I364" s="60"/>
      <c r="J364" s="61"/>
      <c r="L364" s="37"/>
      <c r="P364" s="39"/>
      <c r="Q364" s="39"/>
      <c r="R364" s="33"/>
      <c r="S364" s="39"/>
      <c r="T364" s="39"/>
      <c r="U364" s="39"/>
      <c r="V364" s="39"/>
    </row>
    <row r="365" spans="2:22" ht="12.75" x14ac:dyDescent="0.2">
      <c r="B365" s="32"/>
      <c r="D365" s="59"/>
      <c r="E365" s="59"/>
      <c r="G365" s="39"/>
      <c r="H365" s="35"/>
      <c r="I365" s="60"/>
      <c r="J365" s="61"/>
      <c r="L365" s="37"/>
      <c r="P365" s="39"/>
      <c r="Q365" s="39"/>
      <c r="R365" s="33"/>
      <c r="S365" s="39"/>
      <c r="T365" s="39"/>
      <c r="U365" s="39"/>
      <c r="V365" s="39"/>
    </row>
    <row r="366" spans="2:22" ht="12.75" x14ac:dyDescent="0.2">
      <c r="B366" s="32"/>
      <c r="D366" s="59"/>
      <c r="E366" s="59"/>
      <c r="G366" s="39"/>
      <c r="H366" s="35"/>
      <c r="I366" s="60"/>
      <c r="J366" s="61"/>
      <c r="L366" s="37"/>
      <c r="P366" s="39"/>
      <c r="Q366" s="39"/>
      <c r="R366" s="33"/>
      <c r="S366" s="39"/>
      <c r="T366" s="39"/>
      <c r="U366" s="39"/>
      <c r="V366" s="39"/>
    </row>
    <row r="367" spans="2:22" ht="12.75" x14ac:dyDescent="0.2">
      <c r="B367" s="32"/>
      <c r="D367" s="59"/>
      <c r="E367" s="59"/>
      <c r="G367" s="39"/>
      <c r="H367" s="35"/>
      <c r="I367" s="60"/>
      <c r="J367" s="61"/>
      <c r="L367" s="37"/>
      <c r="P367" s="39"/>
      <c r="Q367" s="39"/>
      <c r="R367" s="33"/>
      <c r="S367" s="39"/>
      <c r="T367" s="39"/>
      <c r="U367" s="39"/>
      <c r="V367" s="39"/>
    </row>
    <row r="368" spans="2:22" ht="12.75" x14ac:dyDescent="0.2">
      <c r="B368" s="32"/>
      <c r="D368" s="59"/>
      <c r="E368" s="59"/>
      <c r="G368" s="39"/>
      <c r="H368" s="35"/>
      <c r="I368" s="60"/>
      <c r="J368" s="61"/>
      <c r="L368" s="37"/>
      <c r="P368" s="39"/>
      <c r="Q368" s="39"/>
      <c r="R368" s="33"/>
      <c r="S368" s="39"/>
      <c r="T368" s="39"/>
      <c r="U368" s="39"/>
      <c r="V368" s="39"/>
    </row>
    <row r="369" spans="2:22" ht="12.75" x14ac:dyDescent="0.2">
      <c r="B369" s="32"/>
      <c r="D369" s="59"/>
      <c r="E369" s="59"/>
      <c r="G369" s="39"/>
      <c r="H369" s="35"/>
      <c r="I369" s="60"/>
      <c r="J369" s="61"/>
      <c r="L369" s="37"/>
      <c r="P369" s="39"/>
      <c r="Q369" s="39"/>
      <c r="R369" s="33"/>
      <c r="S369" s="39"/>
      <c r="T369" s="39"/>
      <c r="U369" s="39"/>
      <c r="V369" s="39"/>
    </row>
    <row r="370" spans="2:22" ht="12.75" x14ac:dyDescent="0.2">
      <c r="B370" s="32"/>
      <c r="D370" s="59"/>
      <c r="E370" s="59"/>
      <c r="G370" s="39"/>
      <c r="H370" s="35"/>
      <c r="I370" s="60"/>
      <c r="J370" s="61"/>
      <c r="L370" s="37"/>
      <c r="P370" s="39"/>
      <c r="Q370" s="39"/>
      <c r="R370" s="33"/>
      <c r="S370" s="39"/>
      <c r="T370" s="39"/>
      <c r="U370" s="39"/>
      <c r="V370" s="39"/>
    </row>
    <row r="371" spans="2:22" ht="12.75" x14ac:dyDescent="0.2">
      <c r="B371" s="32"/>
      <c r="D371" s="59"/>
      <c r="E371" s="59"/>
      <c r="G371" s="39"/>
      <c r="H371" s="35"/>
      <c r="I371" s="60"/>
      <c r="J371" s="61"/>
      <c r="L371" s="37"/>
      <c r="P371" s="39"/>
      <c r="Q371" s="39"/>
      <c r="R371" s="33"/>
      <c r="S371" s="39"/>
      <c r="T371" s="39"/>
      <c r="U371" s="39"/>
      <c r="V371" s="39"/>
    </row>
    <row r="372" spans="2:22" ht="12.75" x14ac:dyDescent="0.2">
      <c r="B372" s="32"/>
      <c r="D372" s="59"/>
      <c r="E372" s="59"/>
      <c r="G372" s="39"/>
      <c r="H372" s="35"/>
      <c r="I372" s="60"/>
      <c r="J372" s="61"/>
      <c r="L372" s="37"/>
      <c r="P372" s="39"/>
      <c r="Q372" s="39"/>
      <c r="R372" s="33"/>
      <c r="S372" s="39"/>
      <c r="T372" s="39"/>
      <c r="U372" s="39"/>
      <c r="V372" s="39"/>
    </row>
    <row r="373" spans="2:22" ht="12.75" x14ac:dyDescent="0.2">
      <c r="B373" s="32"/>
      <c r="D373" s="59"/>
      <c r="E373" s="59"/>
      <c r="G373" s="39"/>
      <c r="H373" s="35"/>
      <c r="I373" s="60"/>
      <c r="J373" s="61"/>
      <c r="L373" s="37"/>
      <c r="P373" s="39"/>
      <c r="Q373" s="39"/>
      <c r="R373" s="33"/>
      <c r="S373" s="39"/>
      <c r="T373" s="39"/>
      <c r="U373" s="39"/>
      <c r="V373" s="39"/>
    </row>
    <row r="374" spans="2:22" ht="12.75" x14ac:dyDescent="0.2">
      <c r="B374" s="32"/>
      <c r="D374" s="59"/>
      <c r="E374" s="59"/>
      <c r="G374" s="39"/>
      <c r="H374" s="35"/>
      <c r="I374" s="60"/>
      <c r="J374" s="61"/>
      <c r="L374" s="37"/>
      <c r="P374" s="39"/>
      <c r="Q374" s="39"/>
      <c r="R374" s="33"/>
      <c r="S374" s="39"/>
      <c r="T374" s="39"/>
      <c r="U374" s="39"/>
      <c r="V374" s="39"/>
    </row>
    <row r="375" spans="2:22" ht="12.75" x14ac:dyDescent="0.2">
      <c r="B375" s="32"/>
      <c r="D375" s="59"/>
      <c r="E375" s="59"/>
      <c r="G375" s="39"/>
      <c r="H375" s="35"/>
      <c r="I375" s="60"/>
      <c r="J375" s="61"/>
      <c r="L375" s="37"/>
      <c r="P375" s="39"/>
      <c r="Q375" s="39"/>
      <c r="R375" s="33"/>
      <c r="S375" s="39"/>
      <c r="T375" s="39"/>
      <c r="U375" s="39"/>
      <c r="V375" s="39"/>
    </row>
    <row r="376" spans="2:22" ht="12.75" x14ac:dyDescent="0.2">
      <c r="B376" s="32"/>
      <c r="D376" s="59"/>
      <c r="E376" s="59"/>
      <c r="G376" s="39"/>
      <c r="H376" s="35"/>
      <c r="I376" s="60"/>
      <c r="J376" s="61"/>
      <c r="L376" s="37"/>
      <c r="P376" s="39"/>
      <c r="Q376" s="39"/>
      <c r="R376" s="33"/>
      <c r="S376" s="39"/>
      <c r="T376" s="39"/>
      <c r="U376" s="39"/>
      <c r="V376" s="39"/>
    </row>
    <row r="377" spans="2:22" ht="12.75" x14ac:dyDescent="0.2">
      <c r="B377" s="32"/>
      <c r="D377" s="59"/>
      <c r="E377" s="59"/>
      <c r="G377" s="39"/>
      <c r="H377" s="35"/>
      <c r="I377" s="60"/>
      <c r="J377" s="61"/>
      <c r="L377" s="37"/>
      <c r="P377" s="39"/>
      <c r="Q377" s="39"/>
      <c r="R377" s="33"/>
      <c r="S377" s="39"/>
      <c r="T377" s="39"/>
      <c r="U377" s="39"/>
      <c r="V377" s="39"/>
    </row>
    <row r="378" spans="2:22" ht="12.75" x14ac:dyDescent="0.2">
      <c r="B378" s="32"/>
      <c r="D378" s="59"/>
      <c r="E378" s="59"/>
      <c r="G378" s="39"/>
      <c r="H378" s="35"/>
      <c r="I378" s="60"/>
      <c r="J378" s="61"/>
      <c r="L378" s="37"/>
      <c r="P378" s="39"/>
      <c r="Q378" s="39"/>
      <c r="R378" s="33"/>
      <c r="S378" s="39"/>
      <c r="T378" s="39"/>
      <c r="U378" s="39"/>
      <c r="V378" s="39"/>
    </row>
    <row r="379" spans="2:22" ht="12.75" x14ac:dyDescent="0.2">
      <c r="B379" s="32"/>
      <c r="D379" s="59"/>
      <c r="E379" s="59"/>
      <c r="G379" s="39"/>
      <c r="H379" s="35"/>
      <c r="I379" s="60"/>
      <c r="J379" s="61"/>
      <c r="L379" s="37"/>
      <c r="P379" s="39"/>
      <c r="Q379" s="39"/>
      <c r="R379" s="33"/>
      <c r="S379" s="39"/>
      <c r="T379" s="39"/>
      <c r="U379" s="39"/>
      <c r="V379" s="39"/>
    </row>
    <row r="380" spans="2:22" ht="12.75" x14ac:dyDescent="0.2">
      <c r="B380" s="32"/>
      <c r="D380" s="59"/>
      <c r="E380" s="59"/>
      <c r="G380" s="39"/>
      <c r="H380" s="35"/>
      <c r="I380" s="60"/>
      <c r="J380" s="61"/>
      <c r="L380" s="37"/>
      <c r="P380" s="39"/>
      <c r="Q380" s="39"/>
      <c r="R380" s="33"/>
      <c r="S380" s="39"/>
      <c r="T380" s="39"/>
      <c r="U380" s="39"/>
      <c r="V380" s="39"/>
    </row>
    <row r="381" spans="2:22" ht="12.75" x14ac:dyDescent="0.2">
      <c r="B381" s="32"/>
      <c r="D381" s="59"/>
      <c r="E381" s="59"/>
      <c r="G381" s="39"/>
      <c r="H381" s="35"/>
      <c r="I381" s="60"/>
      <c r="J381" s="61"/>
      <c r="L381" s="37"/>
      <c r="P381" s="39"/>
      <c r="Q381" s="39"/>
      <c r="R381" s="33"/>
      <c r="S381" s="39"/>
      <c r="T381" s="39"/>
      <c r="U381" s="39"/>
      <c r="V381" s="39"/>
    </row>
    <row r="382" spans="2:22" ht="12.75" x14ac:dyDescent="0.2">
      <c r="B382" s="32"/>
      <c r="D382" s="59"/>
      <c r="E382" s="59"/>
      <c r="G382" s="39"/>
      <c r="H382" s="35"/>
      <c r="I382" s="60"/>
      <c r="J382" s="61"/>
      <c r="L382" s="37"/>
      <c r="P382" s="39"/>
      <c r="Q382" s="39"/>
      <c r="R382" s="33"/>
      <c r="S382" s="39"/>
      <c r="T382" s="39"/>
      <c r="U382" s="39"/>
      <c r="V382" s="39"/>
    </row>
    <row r="383" spans="2:22" ht="12.75" x14ac:dyDescent="0.2">
      <c r="B383" s="32"/>
      <c r="D383" s="59"/>
      <c r="E383" s="59"/>
      <c r="G383" s="39"/>
      <c r="H383" s="35"/>
      <c r="I383" s="60"/>
      <c r="J383" s="61"/>
      <c r="L383" s="37"/>
      <c r="P383" s="39"/>
      <c r="Q383" s="39"/>
      <c r="R383" s="33"/>
      <c r="S383" s="39"/>
      <c r="T383" s="39"/>
      <c r="U383" s="39"/>
      <c r="V383" s="39"/>
    </row>
    <row r="384" spans="2:22" ht="12.75" x14ac:dyDescent="0.2">
      <c r="B384" s="32"/>
      <c r="D384" s="59"/>
      <c r="E384" s="59"/>
      <c r="G384" s="39"/>
      <c r="H384" s="35"/>
      <c r="I384" s="60"/>
      <c r="J384" s="61"/>
      <c r="L384" s="37"/>
      <c r="P384" s="39"/>
      <c r="Q384" s="39"/>
      <c r="R384" s="33"/>
      <c r="S384" s="39"/>
      <c r="T384" s="39"/>
      <c r="U384" s="39"/>
      <c r="V384" s="39"/>
    </row>
    <row r="385" spans="2:22" ht="12.75" x14ac:dyDescent="0.2">
      <c r="B385" s="32"/>
      <c r="D385" s="59"/>
      <c r="E385" s="59"/>
      <c r="G385" s="39"/>
      <c r="H385" s="35"/>
      <c r="I385" s="60"/>
      <c r="J385" s="61"/>
      <c r="L385" s="37"/>
      <c r="P385" s="39"/>
      <c r="Q385" s="39"/>
      <c r="R385" s="33"/>
      <c r="S385" s="39"/>
      <c r="T385" s="39"/>
      <c r="U385" s="39"/>
      <c r="V385" s="39"/>
    </row>
    <row r="386" spans="2:22" ht="12.75" x14ac:dyDescent="0.2">
      <c r="B386" s="32"/>
      <c r="D386" s="59"/>
      <c r="E386" s="59"/>
      <c r="G386" s="39"/>
      <c r="H386" s="35"/>
      <c r="I386" s="60"/>
      <c r="J386" s="61"/>
      <c r="L386" s="37"/>
      <c r="P386" s="39"/>
      <c r="Q386" s="39"/>
      <c r="R386" s="33"/>
      <c r="S386" s="39"/>
      <c r="T386" s="39"/>
      <c r="U386" s="39"/>
      <c r="V386" s="39"/>
    </row>
    <row r="387" spans="2:22" ht="12.75" x14ac:dyDescent="0.2">
      <c r="B387" s="32"/>
      <c r="D387" s="59"/>
      <c r="E387" s="59"/>
      <c r="G387" s="39"/>
      <c r="H387" s="35"/>
      <c r="I387" s="60"/>
      <c r="J387" s="61"/>
      <c r="L387" s="37"/>
      <c r="P387" s="39"/>
      <c r="Q387" s="39"/>
      <c r="R387" s="33"/>
      <c r="S387" s="39"/>
      <c r="T387" s="39"/>
      <c r="U387" s="39"/>
      <c r="V387" s="39"/>
    </row>
    <row r="388" spans="2:22" ht="12.75" x14ac:dyDescent="0.2">
      <c r="B388" s="32"/>
      <c r="D388" s="59"/>
      <c r="E388" s="59"/>
      <c r="G388" s="39"/>
      <c r="H388" s="35"/>
      <c r="I388" s="60"/>
      <c r="J388" s="61"/>
      <c r="L388" s="37"/>
      <c r="P388" s="39"/>
      <c r="Q388" s="39"/>
      <c r="R388" s="33"/>
      <c r="S388" s="39"/>
      <c r="T388" s="39"/>
      <c r="U388" s="39"/>
      <c r="V388" s="39"/>
    </row>
    <row r="389" spans="2:22" ht="12.75" x14ac:dyDescent="0.2">
      <c r="B389" s="32"/>
      <c r="D389" s="59"/>
      <c r="E389" s="59"/>
      <c r="G389" s="39"/>
      <c r="H389" s="35"/>
      <c r="I389" s="60"/>
      <c r="J389" s="61"/>
      <c r="L389" s="37"/>
      <c r="P389" s="39"/>
      <c r="Q389" s="39"/>
      <c r="R389" s="33"/>
      <c r="S389" s="39"/>
      <c r="T389" s="39"/>
      <c r="U389" s="39"/>
      <c r="V389" s="39"/>
    </row>
    <row r="390" spans="2:22" ht="12.75" x14ac:dyDescent="0.2">
      <c r="B390" s="32"/>
      <c r="D390" s="59"/>
      <c r="E390" s="59"/>
      <c r="G390" s="39"/>
      <c r="H390" s="35"/>
      <c r="I390" s="60"/>
      <c r="J390" s="61"/>
      <c r="L390" s="37"/>
      <c r="P390" s="39"/>
      <c r="Q390" s="39"/>
      <c r="R390" s="33"/>
      <c r="S390" s="39"/>
      <c r="T390" s="39"/>
      <c r="U390" s="39"/>
      <c r="V390" s="39"/>
    </row>
    <row r="391" spans="2:22" ht="12.75" x14ac:dyDescent="0.2">
      <c r="B391" s="32"/>
      <c r="D391" s="59"/>
      <c r="E391" s="59"/>
      <c r="G391" s="39"/>
      <c r="H391" s="35"/>
      <c r="I391" s="60"/>
      <c r="J391" s="61"/>
      <c r="L391" s="37"/>
      <c r="P391" s="39"/>
      <c r="Q391" s="39"/>
      <c r="R391" s="33"/>
      <c r="S391" s="39"/>
      <c r="T391" s="39"/>
      <c r="U391" s="39"/>
      <c r="V391" s="39"/>
    </row>
    <row r="392" spans="2:22" ht="12.75" x14ac:dyDescent="0.2">
      <c r="B392" s="32"/>
      <c r="D392" s="59"/>
      <c r="E392" s="59"/>
      <c r="G392" s="39"/>
      <c r="H392" s="35"/>
      <c r="I392" s="60"/>
      <c r="J392" s="61"/>
      <c r="L392" s="37"/>
      <c r="P392" s="39"/>
      <c r="Q392" s="39"/>
      <c r="R392" s="33"/>
      <c r="S392" s="39"/>
      <c r="T392" s="39"/>
      <c r="U392" s="39"/>
      <c r="V392" s="39"/>
    </row>
    <row r="393" spans="2:22" ht="12.75" x14ac:dyDescent="0.2">
      <c r="B393" s="32"/>
      <c r="D393" s="59"/>
      <c r="E393" s="59"/>
      <c r="G393" s="39"/>
      <c r="H393" s="35"/>
      <c r="I393" s="60"/>
      <c r="J393" s="61"/>
      <c r="L393" s="37"/>
      <c r="P393" s="39"/>
      <c r="Q393" s="39"/>
      <c r="R393" s="33"/>
      <c r="S393" s="39"/>
      <c r="T393" s="39"/>
      <c r="U393" s="39"/>
      <c r="V393" s="39"/>
    </row>
    <row r="394" spans="2:22" ht="12.75" x14ac:dyDescent="0.2">
      <c r="B394" s="32"/>
      <c r="D394" s="59"/>
      <c r="E394" s="59"/>
      <c r="G394" s="39"/>
      <c r="H394" s="35"/>
      <c r="I394" s="60"/>
      <c r="J394" s="61"/>
      <c r="L394" s="37"/>
      <c r="P394" s="39"/>
      <c r="Q394" s="39"/>
      <c r="R394" s="33"/>
      <c r="S394" s="39"/>
      <c r="T394" s="39"/>
      <c r="U394" s="39"/>
      <c r="V394" s="39"/>
    </row>
    <row r="395" spans="2:22" ht="12.75" x14ac:dyDescent="0.2">
      <c r="B395" s="32"/>
      <c r="D395" s="59"/>
      <c r="E395" s="59"/>
      <c r="G395" s="39"/>
      <c r="H395" s="35"/>
      <c r="I395" s="60"/>
      <c r="J395" s="61"/>
      <c r="L395" s="37"/>
      <c r="P395" s="39"/>
      <c r="Q395" s="39"/>
      <c r="R395" s="33"/>
      <c r="S395" s="39"/>
      <c r="T395" s="39"/>
      <c r="U395" s="39"/>
      <c r="V395" s="39"/>
    </row>
    <row r="396" spans="2:22" ht="12.75" x14ac:dyDescent="0.2">
      <c r="B396" s="32"/>
      <c r="D396" s="59"/>
      <c r="E396" s="59"/>
      <c r="G396" s="39"/>
      <c r="H396" s="35"/>
      <c r="I396" s="60"/>
      <c r="J396" s="61"/>
      <c r="L396" s="37"/>
      <c r="P396" s="39"/>
      <c r="Q396" s="39"/>
      <c r="R396" s="33"/>
      <c r="S396" s="39"/>
      <c r="T396" s="39"/>
      <c r="U396" s="39"/>
      <c r="V396" s="39"/>
    </row>
    <row r="397" spans="2:22" ht="12.75" x14ac:dyDescent="0.2">
      <c r="B397" s="32"/>
      <c r="D397" s="59"/>
      <c r="E397" s="59"/>
      <c r="G397" s="39"/>
      <c r="H397" s="35"/>
      <c r="I397" s="60"/>
      <c r="J397" s="61"/>
      <c r="L397" s="37"/>
      <c r="P397" s="39"/>
      <c r="Q397" s="39"/>
      <c r="R397" s="33"/>
      <c r="S397" s="39"/>
      <c r="T397" s="39"/>
      <c r="U397" s="39"/>
      <c r="V397" s="39"/>
    </row>
    <row r="398" spans="2:22" ht="12.75" x14ac:dyDescent="0.2">
      <c r="B398" s="32"/>
      <c r="D398" s="59"/>
      <c r="E398" s="59"/>
      <c r="G398" s="39"/>
      <c r="H398" s="35"/>
      <c r="I398" s="60"/>
      <c r="J398" s="61"/>
      <c r="L398" s="37"/>
      <c r="P398" s="39"/>
      <c r="Q398" s="39"/>
      <c r="R398" s="33"/>
      <c r="S398" s="39"/>
      <c r="T398" s="39"/>
      <c r="U398" s="39"/>
      <c r="V398" s="39"/>
    </row>
    <row r="399" spans="2:22" ht="12.75" x14ac:dyDescent="0.2">
      <c r="B399" s="32"/>
      <c r="D399" s="59"/>
      <c r="E399" s="59"/>
      <c r="G399" s="39"/>
      <c r="H399" s="35"/>
      <c r="I399" s="60"/>
      <c r="J399" s="61"/>
      <c r="L399" s="37"/>
      <c r="P399" s="39"/>
      <c r="Q399" s="39"/>
      <c r="R399" s="33"/>
      <c r="S399" s="39"/>
      <c r="T399" s="39"/>
      <c r="U399" s="39"/>
      <c r="V399" s="39"/>
    </row>
    <row r="400" spans="2:22" ht="12.75" x14ac:dyDescent="0.2">
      <c r="B400" s="32"/>
      <c r="D400" s="59"/>
      <c r="E400" s="59"/>
      <c r="G400" s="39"/>
      <c r="H400" s="35"/>
      <c r="I400" s="60"/>
      <c r="J400" s="61"/>
      <c r="L400" s="37"/>
      <c r="P400" s="39"/>
      <c r="Q400" s="39"/>
      <c r="R400" s="33"/>
      <c r="S400" s="39"/>
      <c r="T400" s="39"/>
      <c r="U400" s="39"/>
      <c r="V400" s="39"/>
    </row>
    <row r="401" spans="2:22" ht="12.75" x14ac:dyDescent="0.2">
      <c r="B401" s="32"/>
      <c r="D401" s="59"/>
      <c r="E401" s="59"/>
      <c r="G401" s="39"/>
      <c r="H401" s="35"/>
      <c r="I401" s="60"/>
      <c r="J401" s="61"/>
      <c r="L401" s="37"/>
      <c r="P401" s="39"/>
      <c r="Q401" s="39"/>
      <c r="R401" s="33"/>
      <c r="S401" s="39"/>
      <c r="T401" s="39"/>
      <c r="U401" s="39"/>
      <c r="V401" s="39"/>
    </row>
    <row r="402" spans="2:22" ht="12.75" x14ac:dyDescent="0.2">
      <c r="B402" s="32"/>
      <c r="D402" s="59"/>
      <c r="E402" s="59"/>
      <c r="G402" s="39"/>
      <c r="H402" s="35"/>
      <c r="I402" s="60"/>
      <c r="J402" s="61"/>
      <c r="L402" s="37"/>
      <c r="P402" s="39"/>
      <c r="Q402" s="39"/>
      <c r="R402" s="33"/>
      <c r="S402" s="39"/>
      <c r="T402" s="39"/>
      <c r="U402" s="39"/>
      <c r="V402" s="39"/>
    </row>
    <row r="403" spans="2:22" ht="12.75" x14ac:dyDescent="0.2">
      <c r="B403" s="32"/>
      <c r="D403" s="59"/>
      <c r="E403" s="59"/>
      <c r="G403" s="39"/>
      <c r="H403" s="35"/>
      <c r="I403" s="60"/>
      <c r="J403" s="61"/>
      <c r="L403" s="37"/>
      <c r="P403" s="39"/>
      <c r="Q403" s="39"/>
      <c r="R403" s="33"/>
      <c r="S403" s="39"/>
      <c r="T403" s="39"/>
      <c r="U403" s="39"/>
      <c r="V403" s="39"/>
    </row>
    <row r="404" spans="2:22" ht="12.75" x14ac:dyDescent="0.2">
      <c r="B404" s="32"/>
      <c r="D404" s="59"/>
      <c r="E404" s="59"/>
      <c r="G404" s="39"/>
      <c r="H404" s="35"/>
      <c r="I404" s="60"/>
      <c r="J404" s="61"/>
      <c r="L404" s="37"/>
      <c r="P404" s="39"/>
      <c r="Q404" s="39"/>
      <c r="R404" s="33"/>
      <c r="S404" s="39"/>
      <c r="T404" s="39"/>
      <c r="U404" s="39"/>
      <c r="V404" s="39"/>
    </row>
    <row r="405" spans="2:22" ht="12.75" x14ac:dyDescent="0.2">
      <c r="B405" s="32"/>
      <c r="D405" s="59"/>
      <c r="E405" s="59"/>
      <c r="G405" s="39"/>
      <c r="H405" s="35"/>
      <c r="I405" s="60"/>
      <c r="J405" s="61"/>
      <c r="L405" s="37"/>
      <c r="P405" s="39"/>
      <c r="Q405" s="39"/>
      <c r="R405" s="33"/>
      <c r="S405" s="39"/>
      <c r="T405" s="39"/>
      <c r="U405" s="39"/>
      <c r="V405" s="39"/>
    </row>
    <row r="406" spans="2:22" ht="12.75" x14ac:dyDescent="0.2">
      <c r="B406" s="32"/>
      <c r="D406" s="59"/>
      <c r="E406" s="59"/>
      <c r="G406" s="39"/>
      <c r="H406" s="35"/>
      <c r="I406" s="60"/>
      <c r="J406" s="61"/>
      <c r="L406" s="37"/>
      <c r="P406" s="39"/>
      <c r="Q406" s="39"/>
      <c r="R406" s="33"/>
      <c r="S406" s="39"/>
      <c r="T406" s="39"/>
      <c r="U406" s="39"/>
      <c r="V406" s="39"/>
    </row>
    <row r="407" spans="2:22" ht="12.75" x14ac:dyDescent="0.2">
      <c r="B407" s="32"/>
      <c r="D407" s="59"/>
      <c r="E407" s="59"/>
      <c r="G407" s="39"/>
      <c r="H407" s="35"/>
      <c r="I407" s="60"/>
      <c r="J407" s="61"/>
      <c r="L407" s="37"/>
      <c r="P407" s="39"/>
      <c r="Q407" s="39"/>
      <c r="R407" s="33"/>
      <c r="S407" s="39"/>
      <c r="T407" s="39"/>
      <c r="U407" s="39"/>
      <c r="V407" s="39"/>
    </row>
    <row r="408" spans="2:22" ht="12.75" x14ac:dyDescent="0.2">
      <c r="B408" s="32"/>
      <c r="D408" s="59"/>
      <c r="E408" s="59"/>
      <c r="G408" s="39"/>
      <c r="H408" s="35"/>
      <c r="I408" s="60"/>
      <c r="J408" s="61"/>
      <c r="L408" s="37"/>
      <c r="P408" s="39"/>
      <c r="Q408" s="39"/>
      <c r="R408" s="33"/>
      <c r="S408" s="39"/>
      <c r="T408" s="39"/>
      <c r="U408" s="39"/>
      <c r="V408" s="39"/>
    </row>
    <row r="409" spans="2:22" ht="12.75" x14ac:dyDescent="0.2">
      <c r="B409" s="32"/>
      <c r="D409" s="59"/>
      <c r="E409" s="59"/>
      <c r="G409" s="39"/>
      <c r="H409" s="35"/>
      <c r="I409" s="60"/>
      <c r="J409" s="61"/>
      <c r="L409" s="37"/>
      <c r="P409" s="39"/>
      <c r="Q409" s="39"/>
      <c r="R409" s="33"/>
      <c r="S409" s="39"/>
      <c r="T409" s="39"/>
      <c r="U409" s="39"/>
      <c r="V409" s="39"/>
    </row>
    <row r="410" spans="2:22" ht="12.75" x14ac:dyDescent="0.2">
      <c r="B410" s="32"/>
      <c r="D410" s="59"/>
      <c r="E410" s="59"/>
      <c r="G410" s="39"/>
      <c r="H410" s="35"/>
      <c r="I410" s="60"/>
      <c r="J410" s="61"/>
      <c r="L410" s="37"/>
      <c r="P410" s="39"/>
      <c r="Q410" s="39"/>
      <c r="R410" s="33"/>
      <c r="S410" s="39"/>
      <c r="T410" s="39"/>
      <c r="U410" s="39"/>
      <c r="V410" s="39"/>
    </row>
    <row r="411" spans="2:22" ht="12.75" x14ac:dyDescent="0.2">
      <c r="B411" s="32"/>
      <c r="D411" s="59"/>
      <c r="E411" s="59"/>
      <c r="G411" s="39"/>
      <c r="H411" s="35"/>
      <c r="I411" s="60"/>
      <c r="J411" s="61"/>
      <c r="L411" s="37"/>
      <c r="P411" s="39"/>
      <c r="Q411" s="39"/>
      <c r="R411" s="33"/>
      <c r="S411" s="39"/>
      <c r="T411" s="39"/>
      <c r="U411" s="39"/>
      <c r="V411" s="39"/>
    </row>
    <row r="412" spans="2:22" ht="12.75" x14ac:dyDescent="0.2">
      <c r="B412" s="32"/>
      <c r="D412" s="59"/>
      <c r="E412" s="59"/>
      <c r="G412" s="39"/>
      <c r="H412" s="35"/>
      <c r="I412" s="60"/>
      <c r="J412" s="61"/>
      <c r="L412" s="37"/>
      <c r="P412" s="39"/>
      <c r="Q412" s="39"/>
      <c r="R412" s="33"/>
      <c r="S412" s="39"/>
      <c r="T412" s="39"/>
      <c r="U412" s="39"/>
      <c r="V412" s="39"/>
    </row>
    <row r="413" spans="2:22" ht="12.75" x14ac:dyDescent="0.2">
      <c r="B413" s="32"/>
      <c r="D413" s="59"/>
      <c r="E413" s="59"/>
      <c r="G413" s="39"/>
      <c r="H413" s="35"/>
      <c r="I413" s="60"/>
      <c r="J413" s="61"/>
      <c r="L413" s="37"/>
      <c r="P413" s="39"/>
      <c r="Q413" s="39"/>
      <c r="R413" s="33"/>
      <c r="S413" s="39"/>
      <c r="T413" s="39"/>
      <c r="U413" s="39"/>
      <c r="V413" s="39"/>
    </row>
    <row r="414" spans="2:22" ht="12.75" x14ac:dyDescent="0.2">
      <c r="B414" s="32"/>
      <c r="D414" s="59"/>
      <c r="E414" s="59"/>
      <c r="G414" s="39"/>
      <c r="H414" s="35"/>
      <c r="I414" s="60"/>
      <c r="J414" s="61"/>
      <c r="L414" s="37"/>
      <c r="P414" s="39"/>
      <c r="Q414" s="39"/>
      <c r="R414" s="33"/>
      <c r="S414" s="39"/>
      <c r="T414" s="39"/>
      <c r="U414" s="39"/>
      <c r="V414" s="39"/>
    </row>
    <row r="415" spans="2:22" ht="12.75" x14ac:dyDescent="0.2">
      <c r="B415" s="32"/>
      <c r="D415" s="59"/>
      <c r="E415" s="59"/>
      <c r="G415" s="39"/>
      <c r="H415" s="35"/>
      <c r="I415" s="60"/>
      <c r="J415" s="61"/>
      <c r="L415" s="37"/>
      <c r="P415" s="39"/>
      <c r="Q415" s="39"/>
      <c r="R415" s="33"/>
      <c r="S415" s="39"/>
      <c r="T415" s="39"/>
      <c r="U415" s="39"/>
      <c r="V415" s="39"/>
    </row>
    <row r="416" spans="2:22" ht="12.75" x14ac:dyDescent="0.2">
      <c r="B416" s="32"/>
      <c r="D416" s="59"/>
      <c r="E416" s="59"/>
      <c r="G416" s="39"/>
      <c r="H416" s="35"/>
      <c r="I416" s="60"/>
      <c r="J416" s="61"/>
      <c r="L416" s="37"/>
      <c r="P416" s="39"/>
      <c r="Q416" s="39"/>
      <c r="R416" s="33"/>
      <c r="S416" s="39"/>
      <c r="T416" s="39"/>
      <c r="U416" s="39"/>
      <c r="V416" s="39"/>
    </row>
    <row r="417" spans="2:22" ht="12.75" x14ac:dyDescent="0.2">
      <c r="B417" s="32"/>
      <c r="D417" s="59"/>
      <c r="E417" s="59"/>
      <c r="G417" s="39"/>
      <c r="H417" s="35"/>
      <c r="I417" s="60"/>
      <c r="J417" s="61"/>
      <c r="L417" s="37"/>
      <c r="P417" s="39"/>
      <c r="Q417" s="39"/>
      <c r="R417" s="33"/>
      <c r="S417" s="39"/>
      <c r="T417" s="39"/>
      <c r="U417" s="39"/>
      <c r="V417" s="39"/>
    </row>
    <row r="418" spans="2:22" ht="12.75" x14ac:dyDescent="0.2">
      <c r="B418" s="32"/>
      <c r="D418" s="59"/>
      <c r="E418" s="59"/>
      <c r="G418" s="39"/>
      <c r="H418" s="35"/>
      <c r="I418" s="60"/>
      <c r="J418" s="61"/>
      <c r="L418" s="37"/>
      <c r="P418" s="39"/>
      <c r="Q418" s="39"/>
      <c r="R418" s="33"/>
      <c r="S418" s="39"/>
      <c r="T418" s="39"/>
      <c r="U418" s="39"/>
      <c r="V418" s="39"/>
    </row>
    <row r="419" spans="2:22" ht="12.75" x14ac:dyDescent="0.2">
      <c r="B419" s="32"/>
      <c r="D419" s="59"/>
      <c r="E419" s="59"/>
      <c r="G419" s="39"/>
      <c r="H419" s="35"/>
      <c r="I419" s="60"/>
      <c r="J419" s="61"/>
      <c r="L419" s="37"/>
      <c r="P419" s="39"/>
      <c r="Q419" s="39"/>
      <c r="R419" s="33"/>
      <c r="S419" s="39"/>
      <c r="T419" s="39"/>
      <c r="U419" s="39"/>
      <c r="V419" s="39"/>
    </row>
    <row r="420" spans="2:22" ht="12.75" x14ac:dyDescent="0.2">
      <c r="B420" s="32"/>
      <c r="D420" s="59"/>
      <c r="E420" s="59"/>
      <c r="G420" s="39"/>
      <c r="H420" s="35"/>
      <c r="I420" s="60"/>
      <c r="J420" s="61"/>
      <c r="L420" s="37"/>
      <c r="P420" s="39"/>
      <c r="Q420" s="39"/>
      <c r="R420" s="33"/>
      <c r="S420" s="39"/>
      <c r="T420" s="39"/>
      <c r="U420" s="39"/>
      <c r="V420" s="39"/>
    </row>
    <row r="421" spans="2:22" ht="12.75" x14ac:dyDescent="0.2">
      <c r="B421" s="32"/>
      <c r="D421" s="59"/>
      <c r="E421" s="59"/>
      <c r="G421" s="39"/>
      <c r="H421" s="35"/>
      <c r="I421" s="60"/>
      <c r="J421" s="61"/>
      <c r="L421" s="37"/>
      <c r="P421" s="39"/>
      <c r="Q421" s="39"/>
      <c r="R421" s="33"/>
      <c r="S421" s="39"/>
      <c r="T421" s="39"/>
      <c r="U421" s="39"/>
      <c r="V421" s="39"/>
    </row>
    <row r="422" spans="2:22" ht="12.75" x14ac:dyDescent="0.2">
      <c r="B422" s="32"/>
      <c r="D422" s="59"/>
      <c r="E422" s="59"/>
      <c r="G422" s="39"/>
      <c r="H422" s="35"/>
      <c r="I422" s="60"/>
      <c r="J422" s="61"/>
      <c r="L422" s="37"/>
      <c r="P422" s="39"/>
      <c r="Q422" s="39"/>
      <c r="R422" s="33"/>
      <c r="S422" s="39"/>
      <c r="T422" s="39"/>
      <c r="U422" s="39"/>
      <c r="V422" s="39"/>
    </row>
    <row r="423" spans="2:22" ht="12.75" x14ac:dyDescent="0.2">
      <c r="B423" s="32"/>
      <c r="D423" s="59"/>
      <c r="E423" s="59"/>
      <c r="G423" s="39"/>
      <c r="H423" s="35"/>
      <c r="I423" s="60"/>
      <c r="J423" s="61"/>
      <c r="L423" s="37"/>
      <c r="P423" s="39"/>
      <c r="Q423" s="39"/>
      <c r="R423" s="33"/>
      <c r="S423" s="39"/>
      <c r="T423" s="39"/>
      <c r="U423" s="39"/>
      <c r="V423" s="39"/>
    </row>
    <row r="424" spans="2:22" ht="12.75" x14ac:dyDescent="0.2">
      <c r="B424" s="32"/>
      <c r="D424" s="59"/>
      <c r="E424" s="59"/>
      <c r="G424" s="39"/>
      <c r="H424" s="35"/>
      <c r="I424" s="60"/>
      <c r="J424" s="61"/>
      <c r="L424" s="37"/>
      <c r="P424" s="39"/>
      <c r="Q424" s="39"/>
      <c r="R424" s="33"/>
      <c r="S424" s="39"/>
      <c r="T424" s="39"/>
      <c r="U424" s="39"/>
      <c r="V424" s="39"/>
    </row>
    <row r="425" spans="2:22" ht="12.75" x14ac:dyDescent="0.2">
      <c r="B425" s="32"/>
      <c r="D425" s="59"/>
      <c r="E425" s="59"/>
      <c r="G425" s="39"/>
      <c r="H425" s="35"/>
      <c r="I425" s="60"/>
      <c r="J425" s="61"/>
      <c r="L425" s="37"/>
      <c r="P425" s="39"/>
      <c r="Q425" s="39"/>
      <c r="R425" s="33"/>
      <c r="S425" s="39"/>
      <c r="T425" s="39"/>
      <c r="U425" s="39"/>
      <c r="V425" s="39"/>
    </row>
    <row r="426" spans="2:22" ht="12.75" x14ac:dyDescent="0.2">
      <c r="B426" s="32"/>
      <c r="D426" s="59"/>
      <c r="E426" s="59"/>
      <c r="G426" s="39"/>
      <c r="H426" s="35"/>
      <c r="I426" s="60"/>
      <c r="J426" s="61"/>
      <c r="L426" s="37"/>
      <c r="P426" s="39"/>
      <c r="Q426" s="39"/>
      <c r="R426" s="33"/>
      <c r="S426" s="39"/>
      <c r="T426" s="39"/>
      <c r="U426" s="39"/>
      <c r="V426" s="39"/>
    </row>
    <row r="427" spans="2:22" ht="12.75" x14ac:dyDescent="0.2">
      <c r="B427" s="32"/>
      <c r="D427" s="59"/>
      <c r="E427" s="59"/>
      <c r="G427" s="39"/>
      <c r="H427" s="35"/>
      <c r="I427" s="60"/>
      <c r="J427" s="61"/>
      <c r="L427" s="37"/>
      <c r="P427" s="39"/>
      <c r="Q427" s="39"/>
      <c r="R427" s="33"/>
      <c r="S427" s="39"/>
      <c r="T427" s="39"/>
      <c r="U427" s="39"/>
      <c r="V427" s="39"/>
    </row>
    <row r="428" spans="2:22" ht="12.75" x14ac:dyDescent="0.2">
      <c r="B428" s="32"/>
      <c r="D428" s="59"/>
      <c r="E428" s="59"/>
      <c r="G428" s="39"/>
      <c r="H428" s="35"/>
      <c r="I428" s="60"/>
      <c r="J428" s="61"/>
      <c r="L428" s="37"/>
      <c r="P428" s="39"/>
      <c r="Q428" s="39"/>
      <c r="R428" s="33"/>
      <c r="S428" s="39"/>
      <c r="T428" s="39"/>
      <c r="U428" s="39"/>
      <c r="V428" s="39"/>
    </row>
    <row r="429" spans="2:22" ht="12.75" x14ac:dyDescent="0.2">
      <c r="B429" s="32"/>
      <c r="D429" s="59"/>
      <c r="E429" s="59"/>
      <c r="G429" s="39"/>
      <c r="H429" s="35"/>
      <c r="I429" s="60"/>
      <c r="J429" s="61"/>
      <c r="L429" s="37"/>
      <c r="P429" s="39"/>
      <c r="Q429" s="39"/>
      <c r="R429" s="33"/>
      <c r="S429" s="39"/>
      <c r="T429" s="39"/>
      <c r="U429" s="39"/>
      <c r="V429" s="39"/>
    </row>
    <row r="430" spans="2:22" ht="12.75" x14ac:dyDescent="0.2">
      <c r="B430" s="32"/>
      <c r="D430" s="59"/>
      <c r="E430" s="59"/>
      <c r="G430" s="39"/>
      <c r="H430" s="35"/>
      <c r="I430" s="60"/>
      <c r="J430" s="61"/>
      <c r="L430" s="37"/>
      <c r="P430" s="39"/>
      <c r="Q430" s="39"/>
      <c r="R430" s="33"/>
      <c r="S430" s="39"/>
      <c r="T430" s="39"/>
      <c r="U430" s="39"/>
      <c r="V430" s="39"/>
    </row>
    <row r="431" spans="2:22" ht="12.75" x14ac:dyDescent="0.2">
      <c r="B431" s="32"/>
      <c r="D431" s="59"/>
      <c r="E431" s="59"/>
      <c r="G431" s="39"/>
      <c r="H431" s="35"/>
      <c r="I431" s="60"/>
      <c r="J431" s="61"/>
      <c r="L431" s="37"/>
      <c r="P431" s="39"/>
      <c r="Q431" s="39"/>
      <c r="R431" s="33"/>
      <c r="S431" s="39"/>
      <c r="T431" s="39"/>
      <c r="U431" s="39"/>
      <c r="V431" s="39"/>
    </row>
    <row r="432" spans="2:22" ht="12.75" x14ac:dyDescent="0.2">
      <c r="B432" s="32"/>
      <c r="D432" s="59"/>
      <c r="E432" s="59"/>
      <c r="G432" s="39"/>
      <c r="H432" s="35"/>
      <c r="I432" s="60"/>
      <c r="J432" s="61"/>
      <c r="L432" s="37"/>
      <c r="P432" s="39"/>
      <c r="Q432" s="39"/>
      <c r="R432" s="33"/>
      <c r="S432" s="39"/>
      <c r="T432" s="39"/>
      <c r="U432" s="39"/>
      <c r="V432" s="39"/>
    </row>
    <row r="433" spans="2:22" ht="12.75" x14ac:dyDescent="0.2">
      <c r="B433" s="32"/>
      <c r="D433" s="59"/>
      <c r="E433" s="59"/>
      <c r="G433" s="39"/>
      <c r="H433" s="35"/>
      <c r="I433" s="60"/>
      <c r="J433" s="61"/>
      <c r="L433" s="37"/>
      <c r="P433" s="39"/>
      <c r="Q433" s="39"/>
      <c r="R433" s="33"/>
      <c r="S433" s="39"/>
      <c r="T433" s="39"/>
      <c r="U433" s="39"/>
      <c r="V433" s="39"/>
    </row>
    <row r="434" spans="2:22" ht="12.75" x14ac:dyDescent="0.2">
      <c r="B434" s="32"/>
      <c r="D434" s="59"/>
      <c r="E434" s="59"/>
      <c r="G434" s="39"/>
      <c r="H434" s="35"/>
      <c r="I434" s="60"/>
      <c r="J434" s="61"/>
      <c r="L434" s="37"/>
      <c r="P434" s="39"/>
      <c r="Q434" s="39"/>
      <c r="R434" s="33"/>
      <c r="S434" s="39"/>
      <c r="T434" s="39"/>
      <c r="U434" s="39"/>
      <c r="V434" s="39"/>
    </row>
    <row r="435" spans="2:22" ht="12.75" x14ac:dyDescent="0.2">
      <c r="B435" s="32"/>
      <c r="D435" s="59"/>
      <c r="E435" s="59"/>
      <c r="G435" s="39"/>
      <c r="H435" s="35"/>
      <c r="I435" s="60"/>
      <c r="J435" s="61"/>
      <c r="L435" s="37"/>
      <c r="P435" s="39"/>
      <c r="Q435" s="39"/>
      <c r="R435" s="33"/>
      <c r="S435" s="39"/>
      <c r="T435" s="39"/>
      <c r="U435" s="39"/>
      <c r="V435" s="39"/>
    </row>
    <row r="436" spans="2:22" ht="12.75" x14ac:dyDescent="0.2">
      <c r="B436" s="32"/>
      <c r="D436" s="59"/>
      <c r="E436" s="59"/>
      <c r="G436" s="39"/>
      <c r="H436" s="35"/>
      <c r="I436" s="60"/>
      <c r="J436" s="61"/>
      <c r="L436" s="37"/>
      <c r="P436" s="39"/>
      <c r="Q436" s="39"/>
      <c r="R436" s="33"/>
      <c r="S436" s="39"/>
      <c r="T436" s="39"/>
      <c r="U436" s="39"/>
      <c r="V436" s="39"/>
    </row>
    <row r="437" spans="2:22" ht="12.75" x14ac:dyDescent="0.2">
      <c r="B437" s="32"/>
      <c r="D437" s="59"/>
      <c r="E437" s="59"/>
      <c r="G437" s="39"/>
      <c r="H437" s="35"/>
      <c r="I437" s="60"/>
      <c r="J437" s="61"/>
      <c r="L437" s="37"/>
      <c r="P437" s="39"/>
      <c r="Q437" s="39"/>
      <c r="R437" s="33"/>
      <c r="S437" s="39"/>
      <c r="T437" s="39"/>
      <c r="U437" s="39"/>
      <c r="V437" s="39"/>
    </row>
    <row r="438" spans="2:22" ht="12.75" x14ac:dyDescent="0.2">
      <c r="B438" s="32"/>
      <c r="D438" s="59"/>
      <c r="E438" s="59"/>
      <c r="G438" s="39"/>
      <c r="H438" s="35"/>
      <c r="I438" s="60"/>
      <c r="J438" s="61"/>
      <c r="L438" s="37"/>
      <c r="P438" s="39"/>
      <c r="Q438" s="39"/>
      <c r="R438" s="33"/>
      <c r="S438" s="39"/>
      <c r="T438" s="39"/>
      <c r="U438" s="39"/>
      <c r="V438" s="39"/>
    </row>
    <row r="439" spans="2:22" ht="12.75" x14ac:dyDescent="0.2">
      <c r="B439" s="32"/>
      <c r="D439" s="59"/>
      <c r="E439" s="59"/>
      <c r="G439" s="39"/>
      <c r="H439" s="35"/>
      <c r="I439" s="60"/>
      <c r="J439" s="61"/>
      <c r="L439" s="37"/>
      <c r="P439" s="39"/>
      <c r="Q439" s="39"/>
      <c r="R439" s="33"/>
      <c r="S439" s="39"/>
      <c r="T439" s="39"/>
      <c r="U439" s="39"/>
      <c r="V439" s="39"/>
    </row>
    <row r="440" spans="2:22" ht="12.75" x14ac:dyDescent="0.2">
      <c r="B440" s="32"/>
      <c r="D440" s="59"/>
      <c r="E440" s="59"/>
      <c r="G440" s="39"/>
      <c r="H440" s="35"/>
      <c r="I440" s="60"/>
      <c r="J440" s="61"/>
      <c r="L440" s="37"/>
      <c r="P440" s="39"/>
      <c r="Q440" s="39"/>
      <c r="R440" s="33"/>
      <c r="S440" s="39"/>
      <c r="T440" s="39"/>
      <c r="U440" s="39"/>
      <c r="V440" s="39"/>
    </row>
    <row r="441" spans="2:22" ht="12.75" x14ac:dyDescent="0.2">
      <c r="B441" s="32"/>
      <c r="D441" s="59"/>
      <c r="E441" s="59"/>
      <c r="G441" s="39"/>
      <c r="H441" s="35"/>
      <c r="I441" s="60"/>
      <c r="J441" s="61"/>
      <c r="L441" s="37"/>
      <c r="P441" s="39"/>
      <c r="Q441" s="39"/>
      <c r="R441" s="33"/>
      <c r="S441" s="39"/>
      <c r="T441" s="39"/>
      <c r="U441" s="39"/>
      <c r="V441" s="39"/>
    </row>
    <row r="442" spans="2:22" ht="12.75" x14ac:dyDescent="0.2">
      <c r="B442" s="32"/>
      <c r="D442" s="59"/>
      <c r="E442" s="59"/>
      <c r="G442" s="39"/>
      <c r="H442" s="35"/>
      <c r="I442" s="60"/>
      <c r="J442" s="61"/>
      <c r="L442" s="37"/>
      <c r="P442" s="39"/>
      <c r="Q442" s="39"/>
      <c r="R442" s="33"/>
      <c r="S442" s="39"/>
      <c r="T442" s="39"/>
      <c r="U442" s="39"/>
      <c r="V442" s="39"/>
    </row>
    <row r="443" spans="2:22" ht="12.75" x14ac:dyDescent="0.2">
      <c r="B443" s="32"/>
      <c r="D443" s="59"/>
      <c r="E443" s="59"/>
      <c r="G443" s="39"/>
      <c r="H443" s="35"/>
      <c r="I443" s="60"/>
      <c r="J443" s="61"/>
      <c r="L443" s="37"/>
      <c r="P443" s="39"/>
      <c r="Q443" s="39"/>
      <c r="R443" s="33"/>
      <c r="S443" s="39"/>
      <c r="T443" s="39"/>
      <c r="U443" s="39"/>
      <c r="V443" s="39"/>
    </row>
    <row r="444" spans="2:22" ht="12.75" x14ac:dyDescent="0.2">
      <c r="B444" s="32"/>
      <c r="D444" s="59"/>
      <c r="E444" s="59"/>
      <c r="G444" s="39"/>
      <c r="H444" s="35"/>
      <c r="I444" s="60"/>
      <c r="J444" s="61"/>
      <c r="L444" s="37"/>
      <c r="P444" s="39"/>
      <c r="Q444" s="39"/>
      <c r="R444" s="33"/>
      <c r="S444" s="39"/>
      <c r="T444" s="39"/>
      <c r="U444" s="39"/>
      <c r="V444" s="39"/>
    </row>
    <row r="445" spans="2:22" ht="12.75" x14ac:dyDescent="0.2">
      <c r="B445" s="32"/>
      <c r="D445" s="59"/>
      <c r="E445" s="59"/>
      <c r="G445" s="39"/>
      <c r="H445" s="35"/>
      <c r="I445" s="60"/>
      <c r="J445" s="61"/>
      <c r="L445" s="37"/>
      <c r="P445" s="39"/>
      <c r="Q445" s="39"/>
      <c r="R445" s="33"/>
      <c r="S445" s="39"/>
      <c r="T445" s="39"/>
      <c r="U445" s="39"/>
      <c r="V445" s="39"/>
    </row>
    <row r="446" spans="2:22" ht="12.75" x14ac:dyDescent="0.2">
      <c r="B446" s="32"/>
      <c r="D446" s="59"/>
      <c r="E446" s="59"/>
      <c r="G446" s="39"/>
      <c r="H446" s="35"/>
      <c r="I446" s="60"/>
      <c r="J446" s="61"/>
      <c r="L446" s="37"/>
      <c r="P446" s="39"/>
      <c r="Q446" s="39"/>
      <c r="R446" s="33"/>
      <c r="S446" s="39"/>
      <c r="T446" s="39"/>
      <c r="U446" s="39"/>
      <c r="V446" s="39"/>
    </row>
    <row r="447" spans="2:22" ht="12.75" x14ac:dyDescent="0.2">
      <c r="B447" s="32"/>
      <c r="D447" s="59"/>
      <c r="E447" s="59"/>
      <c r="G447" s="39"/>
      <c r="H447" s="35"/>
      <c r="I447" s="60"/>
      <c r="J447" s="61"/>
      <c r="L447" s="37"/>
      <c r="P447" s="39"/>
      <c r="Q447" s="39"/>
      <c r="R447" s="33"/>
      <c r="S447" s="39"/>
      <c r="T447" s="39"/>
      <c r="U447" s="39"/>
      <c r="V447" s="39"/>
    </row>
    <row r="448" spans="2:22" ht="12.75" x14ac:dyDescent="0.2">
      <c r="B448" s="32"/>
      <c r="D448" s="59"/>
      <c r="E448" s="59"/>
      <c r="G448" s="39"/>
      <c r="H448" s="35"/>
      <c r="I448" s="60"/>
      <c r="J448" s="61"/>
      <c r="L448" s="37"/>
      <c r="P448" s="39"/>
      <c r="Q448" s="39"/>
      <c r="R448" s="33"/>
      <c r="S448" s="39"/>
      <c r="T448" s="39"/>
      <c r="U448" s="39"/>
      <c r="V448" s="39"/>
    </row>
    <row r="449" spans="2:22" ht="12.75" x14ac:dyDescent="0.2">
      <c r="B449" s="32"/>
      <c r="D449" s="59"/>
      <c r="E449" s="59"/>
      <c r="G449" s="39"/>
      <c r="H449" s="35"/>
      <c r="I449" s="60"/>
      <c r="J449" s="61"/>
      <c r="L449" s="37"/>
      <c r="P449" s="39"/>
      <c r="Q449" s="39"/>
      <c r="R449" s="33"/>
      <c r="S449" s="39"/>
      <c r="T449" s="39"/>
      <c r="U449" s="39"/>
      <c r="V449" s="39"/>
    </row>
    <row r="450" spans="2:22" ht="12.75" x14ac:dyDescent="0.2">
      <c r="B450" s="32"/>
      <c r="D450" s="59"/>
      <c r="E450" s="59"/>
      <c r="G450" s="39"/>
      <c r="H450" s="35"/>
      <c r="I450" s="60"/>
      <c r="J450" s="61"/>
      <c r="L450" s="37"/>
      <c r="P450" s="39"/>
      <c r="Q450" s="39"/>
      <c r="R450" s="33"/>
      <c r="S450" s="39"/>
      <c r="T450" s="39"/>
      <c r="U450" s="39"/>
      <c r="V450" s="39"/>
    </row>
    <row r="451" spans="2:22" ht="12.75" x14ac:dyDescent="0.2">
      <c r="B451" s="32"/>
      <c r="D451" s="59"/>
      <c r="E451" s="59"/>
      <c r="G451" s="39"/>
      <c r="H451" s="35"/>
      <c r="I451" s="60"/>
      <c r="J451" s="61"/>
      <c r="L451" s="37"/>
      <c r="P451" s="39"/>
      <c r="Q451" s="39"/>
      <c r="R451" s="33"/>
      <c r="S451" s="39"/>
      <c r="T451" s="39"/>
      <c r="U451" s="39"/>
      <c r="V451" s="39"/>
    </row>
    <row r="452" spans="2:22" ht="12.75" x14ac:dyDescent="0.2">
      <c r="B452" s="32"/>
      <c r="D452" s="59"/>
      <c r="E452" s="59"/>
      <c r="G452" s="39"/>
      <c r="H452" s="35"/>
      <c r="I452" s="60"/>
      <c r="J452" s="61"/>
      <c r="L452" s="37"/>
      <c r="P452" s="39"/>
      <c r="Q452" s="39"/>
      <c r="R452" s="33"/>
      <c r="S452" s="39"/>
      <c r="T452" s="39"/>
      <c r="U452" s="39"/>
      <c r="V452" s="39"/>
    </row>
    <row r="453" spans="2:22" ht="12.75" x14ac:dyDescent="0.2">
      <c r="B453" s="32"/>
      <c r="D453" s="59"/>
      <c r="E453" s="59"/>
      <c r="G453" s="39"/>
      <c r="H453" s="35"/>
      <c r="I453" s="60"/>
      <c r="J453" s="61"/>
      <c r="L453" s="37"/>
      <c r="P453" s="39"/>
      <c r="Q453" s="39"/>
      <c r="R453" s="33"/>
      <c r="S453" s="39"/>
      <c r="T453" s="39"/>
      <c r="U453" s="39"/>
      <c r="V453" s="39"/>
    </row>
    <row r="454" spans="2:22" ht="12.75" x14ac:dyDescent="0.2">
      <c r="B454" s="32"/>
      <c r="D454" s="59"/>
      <c r="E454" s="59"/>
      <c r="G454" s="39"/>
      <c r="H454" s="35"/>
      <c r="I454" s="60"/>
      <c r="J454" s="61"/>
      <c r="L454" s="37"/>
      <c r="P454" s="39"/>
      <c r="Q454" s="39"/>
      <c r="R454" s="33"/>
      <c r="S454" s="39"/>
      <c r="T454" s="39"/>
      <c r="U454" s="39"/>
      <c r="V454" s="39"/>
    </row>
    <row r="455" spans="2:22" ht="12.75" x14ac:dyDescent="0.2">
      <c r="B455" s="32"/>
      <c r="D455" s="59"/>
      <c r="E455" s="59"/>
      <c r="G455" s="39"/>
      <c r="H455" s="35"/>
      <c r="I455" s="60"/>
      <c r="J455" s="61"/>
      <c r="L455" s="37"/>
      <c r="P455" s="39"/>
      <c r="Q455" s="39"/>
      <c r="R455" s="33"/>
      <c r="S455" s="39"/>
      <c r="T455" s="39"/>
      <c r="U455" s="39"/>
      <c r="V455" s="39"/>
    </row>
    <row r="456" spans="2:22" ht="12.75" x14ac:dyDescent="0.2">
      <c r="B456" s="32"/>
      <c r="D456" s="59"/>
      <c r="E456" s="59"/>
      <c r="G456" s="39"/>
      <c r="H456" s="35"/>
      <c r="I456" s="60"/>
      <c r="J456" s="61"/>
      <c r="L456" s="37"/>
      <c r="P456" s="39"/>
      <c r="Q456" s="39"/>
      <c r="R456" s="33"/>
      <c r="S456" s="39"/>
      <c r="T456" s="39"/>
      <c r="U456" s="39"/>
      <c r="V456" s="39"/>
    </row>
    <row r="457" spans="2:22" ht="12.75" x14ac:dyDescent="0.2">
      <c r="B457" s="32"/>
      <c r="D457" s="59"/>
      <c r="E457" s="59"/>
      <c r="G457" s="39"/>
      <c r="H457" s="35"/>
      <c r="I457" s="60"/>
      <c r="J457" s="61"/>
      <c r="L457" s="37"/>
      <c r="P457" s="39"/>
      <c r="Q457" s="39"/>
      <c r="R457" s="33"/>
      <c r="S457" s="39"/>
      <c r="T457" s="39"/>
      <c r="U457" s="39"/>
      <c r="V457" s="39"/>
    </row>
    <row r="458" spans="2:22" ht="12.75" x14ac:dyDescent="0.2">
      <c r="B458" s="32"/>
      <c r="D458" s="59"/>
      <c r="E458" s="59"/>
      <c r="G458" s="39"/>
      <c r="H458" s="35"/>
      <c r="I458" s="60"/>
      <c r="J458" s="61"/>
      <c r="L458" s="37"/>
      <c r="P458" s="39"/>
      <c r="Q458" s="39"/>
      <c r="R458" s="33"/>
      <c r="S458" s="39"/>
      <c r="T458" s="39"/>
      <c r="U458" s="39"/>
      <c r="V458" s="39"/>
    </row>
    <row r="459" spans="2:22" ht="12.75" x14ac:dyDescent="0.2">
      <c r="B459" s="32"/>
      <c r="D459" s="59"/>
      <c r="E459" s="59"/>
      <c r="G459" s="39"/>
      <c r="H459" s="35"/>
      <c r="I459" s="60"/>
      <c r="J459" s="61"/>
      <c r="L459" s="37"/>
      <c r="P459" s="39"/>
      <c r="Q459" s="39"/>
      <c r="R459" s="33"/>
      <c r="S459" s="39"/>
      <c r="T459" s="39"/>
      <c r="U459" s="39"/>
      <c r="V459" s="39"/>
    </row>
    <row r="460" spans="2:22" ht="12.75" x14ac:dyDescent="0.2">
      <c r="B460" s="32"/>
      <c r="D460" s="59"/>
      <c r="E460" s="59"/>
      <c r="G460" s="39"/>
      <c r="H460" s="35"/>
      <c r="I460" s="60"/>
      <c r="J460" s="61"/>
      <c r="L460" s="37"/>
      <c r="P460" s="39"/>
      <c r="Q460" s="39"/>
      <c r="R460" s="33"/>
      <c r="S460" s="39"/>
      <c r="T460" s="39"/>
      <c r="U460" s="39"/>
      <c r="V460" s="39"/>
    </row>
    <row r="461" spans="2:22" ht="12.75" x14ac:dyDescent="0.2">
      <c r="B461" s="32"/>
      <c r="D461" s="59"/>
      <c r="E461" s="59"/>
      <c r="G461" s="39"/>
      <c r="H461" s="35"/>
      <c r="I461" s="60"/>
      <c r="J461" s="61"/>
      <c r="L461" s="37"/>
      <c r="P461" s="39"/>
      <c r="Q461" s="39"/>
      <c r="R461" s="33"/>
      <c r="S461" s="39"/>
      <c r="T461" s="39"/>
      <c r="U461" s="39"/>
      <c r="V461" s="39"/>
    </row>
    <row r="462" spans="2:22" ht="12.75" x14ac:dyDescent="0.2">
      <c r="B462" s="32"/>
      <c r="D462" s="59"/>
      <c r="E462" s="59"/>
      <c r="G462" s="39"/>
      <c r="H462" s="35"/>
      <c r="I462" s="60"/>
      <c r="J462" s="61"/>
      <c r="L462" s="37"/>
      <c r="P462" s="39"/>
      <c r="Q462" s="39"/>
      <c r="R462" s="33"/>
      <c r="S462" s="39"/>
      <c r="T462" s="39"/>
      <c r="U462" s="39"/>
      <c r="V462" s="39"/>
    </row>
    <row r="463" spans="2:22" ht="12.75" x14ac:dyDescent="0.2">
      <c r="B463" s="32"/>
      <c r="D463" s="59"/>
      <c r="E463" s="59"/>
      <c r="G463" s="39"/>
      <c r="H463" s="35"/>
      <c r="I463" s="60"/>
      <c r="J463" s="61"/>
      <c r="L463" s="37"/>
      <c r="P463" s="39"/>
      <c r="Q463" s="39"/>
      <c r="R463" s="33"/>
      <c r="S463" s="39"/>
      <c r="T463" s="39"/>
      <c r="U463" s="39"/>
      <c r="V463" s="39"/>
    </row>
    <row r="464" spans="2:22" ht="12.75" x14ac:dyDescent="0.2">
      <c r="B464" s="32"/>
      <c r="D464" s="59"/>
      <c r="E464" s="59"/>
      <c r="G464" s="39"/>
      <c r="H464" s="35"/>
      <c r="I464" s="60"/>
      <c r="J464" s="61"/>
      <c r="L464" s="37"/>
      <c r="P464" s="39"/>
      <c r="Q464" s="39"/>
      <c r="R464" s="33"/>
      <c r="S464" s="39"/>
      <c r="T464" s="39"/>
      <c r="U464" s="39"/>
      <c r="V464" s="39"/>
    </row>
    <row r="465" spans="2:22" ht="12.75" x14ac:dyDescent="0.2">
      <c r="B465" s="32"/>
      <c r="D465" s="59"/>
      <c r="E465" s="59"/>
      <c r="G465" s="39"/>
      <c r="H465" s="35"/>
      <c r="I465" s="60"/>
      <c r="J465" s="61"/>
      <c r="L465" s="37"/>
      <c r="P465" s="39"/>
      <c r="Q465" s="39"/>
      <c r="R465" s="33"/>
      <c r="S465" s="39"/>
      <c r="T465" s="39"/>
      <c r="U465" s="39"/>
      <c r="V465" s="39"/>
    </row>
    <row r="466" spans="2:22" ht="12.75" x14ac:dyDescent="0.2">
      <c r="B466" s="32"/>
      <c r="D466" s="59"/>
      <c r="E466" s="59"/>
      <c r="G466" s="39"/>
      <c r="H466" s="35"/>
      <c r="I466" s="60"/>
      <c r="J466" s="61"/>
      <c r="L466" s="37"/>
      <c r="P466" s="39"/>
      <c r="Q466" s="39"/>
      <c r="R466" s="33"/>
      <c r="S466" s="39"/>
      <c r="T466" s="39"/>
      <c r="U466" s="39"/>
      <c r="V466" s="39"/>
    </row>
    <row r="467" spans="2:22" ht="12.75" x14ac:dyDescent="0.2">
      <c r="B467" s="32"/>
      <c r="D467" s="59"/>
      <c r="E467" s="59"/>
      <c r="G467" s="39"/>
      <c r="H467" s="35"/>
      <c r="I467" s="60"/>
      <c r="J467" s="61"/>
      <c r="L467" s="37"/>
      <c r="P467" s="39"/>
      <c r="Q467" s="39"/>
      <c r="R467" s="33"/>
      <c r="S467" s="39"/>
      <c r="T467" s="39"/>
      <c r="U467" s="39"/>
      <c r="V467" s="39"/>
    </row>
    <row r="468" spans="2:22" ht="12.75" x14ac:dyDescent="0.2">
      <c r="B468" s="32"/>
      <c r="D468" s="59"/>
      <c r="E468" s="59"/>
      <c r="G468" s="39"/>
      <c r="H468" s="35"/>
      <c r="I468" s="60"/>
      <c r="J468" s="61"/>
      <c r="L468" s="37"/>
      <c r="P468" s="39"/>
      <c r="Q468" s="39"/>
      <c r="R468" s="33"/>
      <c r="S468" s="39"/>
      <c r="T468" s="39"/>
      <c r="U468" s="39"/>
      <c r="V468" s="39"/>
    </row>
    <row r="469" spans="2:22" ht="12.75" x14ac:dyDescent="0.2">
      <c r="B469" s="32"/>
      <c r="D469" s="59"/>
      <c r="E469" s="59"/>
      <c r="G469" s="39"/>
      <c r="H469" s="35"/>
      <c r="I469" s="60"/>
      <c r="J469" s="61"/>
      <c r="L469" s="37"/>
      <c r="P469" s="39"/>
      <c r="Q469" s="39"/>
      <c r="R469" s="33"/>
      <c r="S469" s="39"/>
      <c r="T469" s="39"/>
      <c r="U469" s="39"/>
      <c r="V469" s="39"/>
    </row>
    <row r="470" spans="2:22" ht="12.75" x14ac:dyDescent="0.2">
      <c r="B470" s="32"/>
      <c r="D470" s="59"/>
      <c r="E470" s="59"/>
      <c r="G470" s="39"/>
      <c r="H470" s="35"/>
      <c r="I470" s="60"/>
      <c r="J470" s="61"/>
      <c r="L470" s="37"/>
      <c r="P470" s="39"/>
      <c r="Q470" s="39"/>
      <c r="R470" s="33"/>
      <c r="S470" s="39"/>
      <c r="T470" s="39"/>
      <c r="U470" s="39"/>
      <c r="V470" s="39"/>
    </row>
    <row r="471" spans="2:22" ht="12.75" x14ac:dyDescent="0.2">
      <c r="B471" s="32"/>
      <c r="D471" s="59"/>
      <c r="E471" s="59"/>
      <c r="G471" s="39"/>
      <c r="H471" s="35"/>
      <c r="I471" s="60"/>
      <c r="J471" s="61"/>
      <c r="L471" s="37"/>
      <c r="P471" s="39"/>
      <c r="Q471" s="39"/>
      <c r="R471" s="33"/>
      <c r="S471" s="39"/>
      <c r="T471" s="39"/>
      <c r="U471" s="39"/>
      <c r="V471" s="39"/>
    </row>
    <row r="472" spans="2:22" ht="12.75" x14ac:dyDescent="0.2">
      <c r="B472" s="32"/>
      <c r="D472" s="59"/>
      <c r="E472" s="59"/>
      <c r="G472" s="39"/>
      <c r="H472" s="35"/>
      <c r="I472" s="60"/>
      <c r="J472" s="61"/>
      <c r="L472" s="37"/>
      <c r="P472" s="39"/>
      <c r="Q472" s="39"/>
      <c r="R472" s="33"/>
      <c r="S472" s="39"/>
      <c r="T472" s="39"/>
      <c r="U472" s="39"/>
      <c r="V472" s="39"/>
    </row>
    <row r="473" spans="2:22" ht="12.75" x14ac:dyDescent="0.2">
      <c r="B473" s="32"/>
      <c r="D473" s="59"/>
      <c r="E473" s="59"/>
      <c r="G473" s="39"/>
      <c r="H473" s="35"/>
      <c r="I473" s="60"/>
      <c r="J473" s="61"/>
      <c r="L473" s="37"/>
      <c r="P473" s="39"/>
      <c r="Q473" s="39"/>
      <c r="R473" s="33"/>
      <c r="S473" s="39"/>
      <c r="T473" s="39"/>
      <c r="U473" s="39"/>
      <c r="V473" s="39"/>
    </row>
    <row r="474" spans="2:22" ht="12.75" x14ac:dyDescent="0.2">
      <c r="B474" s="32"/>
      <c r="D474" s="59"/>
      <c r="E474" s="59"/>
      <c r="G474" s="39"/>
      <c r="H474" s="35"/>
      <c r="I474" s="60"/>
      <c r="J474" s="61"/>
      <c r="L474" s="37"/>
      <c r="P474" s="39"/>
      <c r="Q474" s="39"/>
      <c r="R474" s="33"/>
      <c r="S474" s="39"/>
      <c r="T474" s="39"/>
      <c r="U474" s="39"/>
      <c r="V474" s="39"/>
    </row>
    <row r="475" spans="2:22" ht="12.75" x14ac:dyDescent="0.2">
      <c r="B475" s="32"/>
      <c r="D475" s="59"/>
      <c r="E475" s="59"/>
      <c r="G475" s="39"/>
      <c r="H475" s="35"/>
      <c r="I475" s="60"/>
      <c r="J475" s="61"/>
      <c r="L475" s="37"/>
      <c r="P475" s="39"/>
      <c r="Q475" s="39"/>
      <c r="R475" s="33"/>
      <c r="S475" s="39"/>
      <c r="T475" s="39"/>
      <c r="U475" s="39"/>
      <c r="V475" s="39"/>
    </row>
    <row r="476" spans="2:22" ht="12.75" x14ac:dyDescent="0.2">
      <c r="B476" s="32"/>
      <c r="D476" s="59"/>
      <c r="E476" s="59"/>
      <c r="G476" s="39"/>
      <c r="H476" s="35"/>
      <c r="I476" s="60"/>
      <c r="J476" s="61"/>
      <c r="L476" s="37"/>
      <c r="P476" s="39"/>
      <c r="Q476" s="39"/>
      <c r="R476" s="33"/>
      <c r="S476" s="39"/>
      <c r="T476" s="39"/>
      <c r="U476" s="39"/>
      <c r="V476" s="39"/>
    </row>
    <row r="477" spans="2:22" ht="12.75" x14ac:dyDescent="0.2">
      <c r="B477" s="32"/>
      <c r="D477" s="59"/>
      <c r="E477" s="59"/>
      <c r="G477" s="39"/>
      <c r="H477" s="35"/>
      <c r="I477" s="60"/>
      <c r="J477" s="61"/>
      <c r="L477" s="37"/>
      <c r="P477" s="39"/>
      <c r="Q477" s="39"/>
      <c r="R477" s="33"/>
      <c r="S477" s="39"/>
      <c r="T477" s="39"/>
      <c r="U477" s="39"/>
      <c r="V477" s="39"/>
    </row>
    <row r="478" spans="2:22" ht="12.75" x14ac:dyDescent="0.2">
      <c r="B478" s="32"/>
      <c r="D478" s="59"/>
      <c r="E478" s="59"/>
      <c r="G478" s="39"/>
      <c r="H478" s="35"/>
      <c r="I478" s="60"/>
      <c r="J478" s="61"/>
      <c r="L478" s="37"/>
      <c r="P478" s="39"/>
      <c r="Q478" s="39"/>
      <c r="R478" s="33"/>
      <c r="S478" s="39"/>
      <c r="T478" s="39"/>
      <c r="U478" s="39"/>
      <c r="V478" s="39"/>
    </row>
    <row r="479" spans="2:22" ht="12.75" x14ac:dyDescent="0.2">
      <c r="B479" s="32"/>
      <c r="D479" s="59"/>
      <c r="E479" s="59"/>
      <c r="G479" s="39"/>
      <c r="H479" s="35"/>
      <c r="I479" s="60"/>
      <c r="J479" s="61"/>
      <c r="L479" s="37"/>
      <c r="P479" s="39"/>
      <c r="Q479" s="39"/>
      <c r="R479" s="33"/>
      <c r="S479" s="39"/>
      <c r="T479" s="39"/>
      <c r="U479" s="39"/>
      <c r="V479" s="39"/>
    </row>
    <row r="480" spans="2:22" ht="12.75" x14ac:dyDescent="0.2">
      <c r="B480" s="32"/>
      <c r="D480" s="59"/>
      <c r="E480" s="59"/>
      <c r="G480" s="39"/>
      <c r="H480" s="35"/>
      <c r="I480" s="60"/>
      <c r="J480" s="61"/>
      <c r="L480" s="37"/>
      <c r="P480" s="39"/>
      <c r="Q480" s="39"/>
      <c r="R480" s="33"/>
      <c r="S480" s="39"/>
      <c r="T480" s="39"/>
      <c r="U480" s="39"/>
      <c r="V480" s="39"/>
    </row>
    <row r="481" spans="1:22" ht="12.75" x14ac:dyDescent="0.2">
      <c r="B481" s="32"/>
      <c r="D481" s="59"/>
      <c r="E481" s="59"/>
      <c r="G481" s="39"/>
      <c r="H481" s="35"/>
      <c r="I481" s="60"/>
      <c r="J481" s="61"/>
      <c r="L481" s="37"/>
      <c r="P481" s="39"/>
      <c r="Q481" s="39"/>
      <c r="R481" s="33"/>
      <c r="S481" s="39"/>
      <c r="T481" s="39"/>
      <c r="U481" s="39"/>
      <c r="V481" s="39"/>
    </row>
    <row r="482" spans="1:22" ht="12.75" x14ac:dyDescent="0.2">
      <c r="B482" s="32"/>
      <c r="D482" s="59"/>
      <c r="E482" s="59"/>
      <c r="G482" s="39"/>
      <c r="H482" s="35"/>
      <c r="I482" s="60"/>
      <c r="J482" s="61"/>
      <c r="L482" s="37"/>
      <c r="P482" s="39"/>
      <c r="Q482" s="39"/>
      <c r="R482" s="33"/>
      <c r="S482" s="39"/>
      <c r="T482" s="39"/>
      <c r="U482" s="39"/>
      <c r="V482" s="39"/>
    </row>
    <row r="483" spans="1:22" ht="12.75" x14ac:dyDescent="0.2">
      <c r="B483" s="32"/>
      <c r="D483" s="59"/>
      <c r="E483" s="59"/>
      <c r="G483" s="39"/>
      <c r="H483" s="35"/>
      <c r="I483" s="60"/>
      <c r="J483" s="61"/>
      <c r="L483" s="37"/>
      <c r="P483" s="39"/>
      <c r="Q483" s="39"/>
      <c r="R483" s="33"/>
      <c r="S483" s="39"/>
      <c r="T483" s="39"/>
      <c r="U483" s="39"/>
      <c r="V483" s="39"/>
    </row>
    <row r="484" spans="1:22" ht="12.75" x14ac:dyDescent="0.2">
      <c r="B484" s="32"/>
      <c r="D484" s="59"/>
      <c r="E484" s="59"/>
      <c r="G484" s="39"/>
      <c r="H484" s="35"/>
      <c r="I484" s="60"/>
      <c r="J484" s="61"/>
      <c r="L484" s="37"/>
      <c r="P484" s="39"/>
      <c r="Q484" s="39"/>
      <c r="R484" s="33"/>
      <c r="S484" s="39"/>
      <c r="T484" s="39"/>
      <c r="U484" s="39"/>
      <c r="V484" s="39"/>
    </row>
    <row r="485" spans="1:22" ht="12.75" x14ac:dyDescent="0.2">
      <c r="B485" s="32"/>
      <c r="D485" s="59"/>
      <c r="E485" s="59"/>
      <c r="G485" s="39"/>
      <c r="H485" s="35"/>
      <c r="I485" s="60"/>
      <c r="J485" s="61"/>
      <c r="L485" s="37"/>
      <c r="P485" s="39"/>
      <c r="Q485" s="39"/>
      <c r="R485" s="33"/>
      <c r="S485" s="39"/>
      <c r="T485" s="39"/>
      <c r="U485" s="39"/>
      <c r="V485" s="39"/>
    </row>
    <row r="486" spans="1:22" ht="12.75" x14ac:dyDescent="0.2">
      <c r="B486" s="32"/>
      <c r="D486" s="59"/>
      <c r="E486" s="59"/>
      <c r="G486" s="39"/>
      <c r="H486" s="35"/>
      <c r="I486" s="60"/>
      <c r="J486" s="61"/>
      <c r="L486" s="37"/>
      <c r="P486" s="39"/>
      <c r="Q486" s="39"/>
      <c r="R486" s="33"/>
      <c r="S486" s="39"/>
      <c r="T486" s="39"/>
      <c r="U486" s="39"/>
      <c r="V486" s="39"/>
    </row>
    <row r="487" spans="1:22" ht="12.75" x14ac:dyDescent="0.2">
      <c r="B487" s="32"/>
      <c r="D487" s="59"/>
      <c r="E487" s="59"/>
      <c r="G487" s="39"/>
      <c r="H487" s="35"/>
      <c r="I487" s="60"/>
      <c r="J487" s="61"/>
      <c r="L487" s="37"/>
      <c r="P487" s="39"/>
      <c r="Q487" s="39"/>
      <c r="R487" s="33"/>
      <c r="S487" s="39"/>
      <c r="T487" s="39"/>
      <c r="U487" s="39"/>
      <c r="V487" s="39"/>
    </row>
    <row r="488" spans="1:22" ht="12.75" x14ac:dyDescent="0.2">
      <c r="B488" s="32"/>
      <c r="D488" s="59"/>
      <c r="E488" s="59"/>
      <c r="G488" s="39"/>
      <c r="H488" s="35"/>
      <c r="I488" s="60"/>
      <c r="J488" s="61"/>
      <c r="L488" s="37"/>
      <c r="P488" s="39"/>
      <c r="Q488" s="39"/>
      <c r="R488" s="33"/>
      <c r="S488" s="39"/>
      <c r="T488" s="39"/>
      <c r="U488" s="39"/>
      <c r="V488" s="39"/>
    </row>
    <row r="489" spans="1:22" ht="12.75" x14ac:dyDescent="0.2">
      <c r="B489" s="32"/>
      <c r="D489" s="59"/>
      <c r="E489" s="59"/>
      <c r="G489" s="39"/>
      <c r="H489" s="35"/>
      <c r="I489" s="60"/>
      <c r="J489" s="61"/>
      <c r="L489" s="37"/>
      <c r="P489" s="39"/>
      <c r="Q489" s="39"/>
      <c r="R489" s="33"/>
      <c r="S489" s="39"/>
      <c r="T489" s="39"/>
      <c r="U489" s="39"/>
      <c r="V489" s="39"/>
    </row>
    <row r="490" spans="1:22" ht="12.75" x14ac:dyDescent="0.2">
      <c r="B490" s="32"/>
      <c r="D490" s="59"/>
      <c r="E490" s="59"/>
      <c r="G490" s="39"/>
      <c r="H490" s="35"/>
      <c r="I490" s="60"/>
      <c r="J490" s="61"/>
      <c r="L490" s="37"/>
      <c r="P490" s="39"/>
      <c r="Q490" s="39"/>
      <c r="R490" s="33"/>
      <c r="S490" s="39"/>
      <c r="T490" s="39"/>
      <c r="U490" s="39"/>
      <c r="V490" s="39"/>
    </row>
    <row r="491" spans="1:22" ht="12.75" x14ac:dyDescent="0.2">
      <c r="B491" s="32"/>
      <c r="D491" s="59"/>
      <c r="E491" s="59"/>
      <c r="G491" s="39"/>
      <c r="H491" s="35"/>
      <c r="I491" s="60"/>
      <c r="J491" s="61"/>
      <c r="L491" s="37"/>
      <c r="P491" s="39"/>
      <c r="Q491" s="39"/>
      <c r="R491" s="33"/>
      <c r="S491" s="39"/>
      <c r="T491" s="39"/>
      <c r="U491" s="39"/>
      <c r="V491" s="39"/>
    </row>
    <row r="492" spans="1:22" ht="12.75" x14ac:dyDescent="0.2">
      <c r="B492" s="32"/>
      <c r="D492" s="59"/>
      <c r="E492" s="59"/>
      <c r="G492" s="39"/>
      <c r="H492" s="35"/>
      <c r="I492" s="60"/>
      <c r="J492" s="61"/>
      <c r="L492" s="37"/>
      <c r="P492" s="39"/>
      <c r="Q492" s="39"/>
      <c r="R492" s="33"/>
      <c r="S492" s="39"/>
      <c r="T492" s="39"/>
      <c r="U492" s="39"/>
      <c r="V492" s="39"/>
    </row>
    <row r="493" spans="1:22" ht="12.75" x14ac:dyDescent="0.2">
      <c r="B493" s="32"/>
      <c r="D493" s="59"/>
      <c r="E493" s="59"/>
      <c r="G493" s="39"/>
      <c r="H493" s="35"/>
      <c r="I493" s="60"/>
      <c r="J493" s="61"/>
      <c r="L493" s="37"/>
      <c r="P493" s="39"/>
      <c r="Q493" s="39"/>
      <c r="R493" s="33"/>
      <c r="S493" s="39"/>
      <c r="T493" s="39"/>
      <c r="U493" s="39"/>
      <c r="V493" s="39"/>
    </row>
    <row r="494" spans="1:22" ht="12.75" x14ac:dyDescent="0.2">
      <c r="B494" s="32"/>
      <c r="D494" s="59"/>
      <c r="E494" s="59"/>
      <c r="G494" s="39"/>
      <c r="H494" s="35"/>
      <c r="I494" s="60"/>
      <c r="J494" s="61"/>
      <c r="L494" s="37"/>
      <c r="P494" s="39"/>
      <c r="Q494" s="39"/>
      <c r="R494" s="33"/>
      <c r="S494" s="39"/>
      <c r="T494" s="39"/>
      <c r="U494" s="39"/>
      <c r="V494" s="39"/>
    </row>
    <row r="495" spans="1:22" ht="12.75" x14ac:dyDescent="0.2">
      <c r="B495" s="32"/>
      <c r="D495" s="59"/>
      <c r="E495" s="59"/>
      <c r="G495" s="39"/>
      <c r="H495" s="35"/>
      <c r="I495" s="60"/>
      <c r="J495" s="61"/>
      <c r="L495" s="37"/>
      <c r="P495" s="39"/>
      <c r="Q495" s="39"/>
      <c r="R495" s="33"/>
      <c r="S495" s="39"/>
      <c r="T495" s="39"/>
      <c r="U495" s="39"/>
      <c r="V495" s="39"/>
    </row>
    <row r="496" spans="1:22" ht="12.75" x14ac:dyDescent="0.2">
      <c r="A496" s="1"/>
      <c r="B496" s="62"/>
      <c r="D496" s="59"/>
      <c r="E496" s="59"/>
      <c r="G496" s="39"/>
      <c r="H496" s="35"/>
      <c r="I496" s="60"/>
      <c r="J496" s="61"/>
      <c r="L496" s="37"/>
      <c r="P496" s="39"/>
      <c r="Q496" s="39"/>
      <c r="R496" s="33"/>
      <c r="S496" s="39"/>
      <c r="T496" s="39"/>
      <c r="U496" s="39"/>
      <c r="V496" s="39"/>
    </row>
    <row r="497" spans="1:22" ht="12.75" x14ac:dyDescent="0.2">
      <c r="A497" s="1"/>
      <c r="B497" s="62"/>
      <c r="D497" s="59"/>
      <c r="E497" s="59"/>
      <c r="G497" s="39"/>
      <c r="H497" s="35"/>
      <c r="I497" s="60"/>
      <c r="J497" s="61"/>
      <c r="L497" s="37"/>
      <c r="P497" s="39"/>
      <c r="Q497" s="39"/>
      <c r="R497" s="33"/>
      <c r="S497" s="39"/>
      <c r="T497" s="39"/>
      <c r="U497" s="39"/>
      <c r="V497" s="39"/>
    </row>
    <row r="498" spans="1:22" ht="12.75" x14ac:dyDescent="0.2">
      <c r="A498" s="63"/>
      <c r="B498" s="32"/>
      <c r="D498" s="59"/>
      <c r="E498" s="59"/>
      <c r="G498" s="39"/>
      <c r="H498" s="35"/>
      <c r="I498" s="60"/>
      <c r="J498" s="61"/>
      <c r="L498" s="37"/>
      <c r="P498" s="39"/>
      <c r="Q498" s="39"/>
      <c r="R498" s="33"/>
      <c r="S498" s="39"/>
      <c r="T498" s="39"/>
      <c r="U498" s="39"/>
      <c r="V498" s="39"/>
    </row>
    <row r="499" spans="1:22" ht="12.75" x14ac:dyDescent="0.2">
      <c r="A499" s="63"/>
      <c r="B499" s="32"/>
      <c r="D499" s="59"/>
      <c r="E499" s="59"/>
      <c r="G499" s="39"/>
      <c r="H499" s="35"/>
      <c r="I499" s="60"/>
      <c r="J499" s="61"/>
      <c r="L499" s="37"/>
      <c r="P499" s="39"/>
      <c r="Q499" s="39"/>
      <c r="R499" s="33"/>
      <c r="S499" s="39"/>
      <c r="T499" s="39"/>
      <c r="U499" s="39"/>
      <c r="V499" s="39"/>
    </row>
    <row r="500" spans="1:22" ht="12.75" x14ac:dyDescent="0.2">
      <c r="A500" s="63"/>
      <c r="B500" s="32"/>
      <c r="D500" s="59"/>
      <c r="E500" s="59"/>
      <c r="G500" s="39"/>
      <c r="H500" s="35"/>
      <c r="I500" s="60"/>
      <c r="J500" s="61"/>
      <c r="L500" s="37"/>
      <c r="P500" s="39"/>
      <c r="Q500" s="39"/>
      <c r="R500" s="33"/>
      <c r="S500" s="39"/>
      <c r="T500" s="39"/>
      <c r="U500" s="39"/>
      <c r="V500" s="39"/>
    </row>
    <row r="501" spans="1:22" ht="12.75" x14ac:dyDescent="0.2">
      <c r="A501" s="63"/>
      <c r="B501" s="32"/>
      <c r="D501" s="59"/>
      <c r="E501" s="59"/>
      <c r="G501" s="39"/>
      <c r="H501" s="35"/>
      <c r="I501" s="60"/>
      <c r="J501" s="61"/>
      <c r="L501" s="37"/>
      <c r="P501" s="39"/>
      <c r="Q501" s="39"/>
      <c r="R501" s="33"/>
      <c r="S501" s="39"/>
      <c r="T501" s="39"/>
      <c r="U501" s="39"/>
      <c r="V501" s="39"/>
    </row>
    <row r="502" spans="1:22" ht="12.75" x14ac:dyDescent="0.2">
      <c r="A502" s="1"/>
      <c r="B502" s="62"/>
      <c r="D502" s="59"/>
      <c r="E502" s="59"/>
      <c r="G502" s="39"/>
      <c r="H502" s="35"/>
      <c r="I502" s="60"/>
      <c r="J502" s="61"/>
      <c r="L502" s="37"/>
      <c r="P502" s="39"/>
      <c r="Q502" s="39"/>
      <c r="R502" s="33"/>
      <c r="S502" s="39"/>
      <c r="T502" s="39"/>
      <c r="U502" s="39"/>
      <c r="V502" s="39"/>
    </row>
    <row r="503" spans="1:22" ht="12.75" x14ac:dyDescent="0.2">
      <c r="A503" s="63"/>
      <c r="B503" s="64"/>
      <c r="D503" s="59"/>
      <c r="E503" s="59"/>
      <c r="G503" s="39"/>
      <c r="H503" s="35"/>
      <c r="I503" s="60"/>
      <c r="J503" s="61"/>
      <c r="L503" s="37"/>
      <c r="P503" s="39"/>
      <c r="Q503" s="39"/>
      <c r="R503" s="33"/>
      <c r="S503" s="39"/>
      <c r="T503" s="39"/>
      <c r="U503" s="39"/>
      <c r="V503" s="39"/>
    </row>
    <row r="504" spans="1:22" ht="12.75" x14ac:dyDescent="0.2">
      <c r="A504" s="63"/>
      <c r="B504" s="64"/>
      <c r="D504" s="59"/>
      <c r="E504" s="59"/>
      <c r="G504" s="39"/>
      <c r="H504" s="35"/>
      <c r="I504" s="60"/>
      <c r="J504" s="61"/>
      <c r="L504" s="37"/>
      <c r="P504" s="39"/>
      <c r="Q504" s="39"/>
      <c r="R504" s="33"/>
      <c r="S504" s="39"/>
      <c r="T504" s="39"/>
      <c r="U504" s="39"/>
      <c r="V504" s="39"/>
    </row>
    <row r="505" spans="1:22" ht="12.75" x14ac:dyDescent="0.2">
      <c r="A505" s="63"/>
      <c r="B505" s="32"/>
      <c r="D505" s="59"/>
      <c r="E505" s="59"/>
      <c r="G505" s="39"/>
      <c r="H505" s="35"/>
      <c r="I505" s="60"/>
      <c r="J505" s="61"/>
      <c r="L505" s="37"/>
      <c r="P505" s="39"/>
      <c r="Q505" s="39"/>
      <c r="R505" s="33"/>
      <c r="S505" s="39"/>
      <c r="T505" s="39"/>
      <c r="U505" s="39"/>
      <c r="V505" s="39"/>
    </row>
    <row r="506" spans="1:22" ht="12.75" x14ac:dyDescent="0.2">
      <c r="A506" s="63"/>
      <c r="B506" s="32"/>
      <c r="D506" s="59"/>
      <c r="E506" s="59"/>
      <c r="G506" s="39"/>
      <c r="H506" s="35"/>
      <c r="I506" s="60"/>
      <c r="J506" s="61"/>
      <c r="L506" s="37"/>
      <c r="P506" s="39"/>
      <c r="Q506" s="39"/>
      <c r="R506" s="33"/>
      <c r="S506" s="39"/>
      <c r="T506" s="39"/>
      <c r="U506" s="39"/>
      <c r="V506" s="39"/>
    </row>
    <row r="507" spans="1:22" ht="12.75" x14ac:dyDescent="0.2">
      <c r="A507" s="63"/>
      <c r="B507" s="32"/>
      <c r="D507" s="59"/>
      <c r="E507" s="59"/>
      <c r="G507" s="39"/>
      <c r="H507" s="35"/>
      <c r="I507" s="60"/>
      <c r="J507" s="61"/>
      <c r="L507" s="37"/>
      <c r="P507" s="39"/>
      <c r="Q507" s="39"/>
      <c r="R507" s="33"/>
      <c r="S507" s="39"/>
      <c r="T507" s="39"/>
      <c r="U507" s="39"/>
      <c r="V507" s="39"/>
    </row>
    <row r="508" spans="1:22" ht="12.75" x14ac:dyDescent="0.2">
      <c r="A508" s="63"/>
      <c r="B508" s="32"/>
      <c r="D508" s="59"/>
      <c r="E508" s="59"/>
      <c r="G508" s="39"/>
      <c r="H508" s="35"/>
      <c r="I508" s="60"/>
      <c r="J508" s="61"/>
      <c r="L508" s="37"/>
      <c r="P508" s="39"/>
      <c r="Q508" s="39"/>
      <c r="R508" s="33"/>
      <c r="S508" s="39"/>
      <c r="T508" s="39"/>
      <c r="U508" s="39"/>
      <c r="V508" s="39"/>
    </row>
    <row r="509" spans="1:22" ht="12.75" x14ac:dyDescent="0.2">
      <c r="A509" s="63"/>
      <c r="B509" s="64"/>
      <c r="D509" s="59"/>
      <c r="E509" s="59"/>
      <c r="G509" s="39"/>
      <c r="H509" s="35"/>
      <c r="I509" s="60"/>
      <c r="J509" s="61"/>
      <c r="L509" s="37"/>
      <c r="P509" s="39"/>
      <c r="Q509" s="39"/>
      <c r="R509" s="33"/>
      <c r="S509" s="39"/>
      <c r="T509" s="39"/>
      <c r="U509" s="39"/>
      <c r="V509" s="39"/>
    </row>
    <row r="510" spans="1:22" ht="12.75" x14ac:dyDescent="0.2">
      <c r="B510" s="32"/>
      <c r="D510" s="59"/>
      <c r="E510" s="59"/>
      <c r="G510" s="39"/>
      <c r="H510" s="35"/>
      <c r="I510" s="60"/>
      <c r="J510" s="61"/>
      <c r="L510" s="37"/>
      <c r="P510" s="39"/>
      <c r="Q510" s="39"/>
      <c r="R510" s="33"/>
      <c r="S510" s="39"/>
      <c r="T510" s="39"/>
      <c r="U510" s="39"/>
      <c r="V510" s="39"/>
    </row>
    <row r="511" spans="1:22" ht="12.75" x14ac:dyDescent="0.2">
      <c r="B511" s="32"/>
      <c r="D511" s="59"/>
      <c r="E511" s="59"/>
      <c r="G511" s="39"/>
      <c r="H511" s="35"/>
      <c r="I511" s="60"/>
      <c r="J511" s="61"/>
      <c r="L511" s="37"/>
      <c r="P511" s="39"/>
      <c r="Q511" s="39"/>
      <c r="R511" s="33"/>
      <c r="S511" s="39"/>
      <c r="T511" s="39"/>
      <c r="U511" s="39"/>
      <c r="V511" s="39"/>
    </row>
    <row r="512" spans="1:22" ht="12.75" x14ac:dyDescent="0.2">
      <c r="B512" s="32"/>
      <c r="D512" s="59"/>
      <c r="E512" s="59"/>
      <c r="G512" s="39"/>
      <c r="H512" s="35"/>
      <c r="I512" s="60"/>
      <c r="J512" s="61"/>
      <c r="L512" s="37"/>
      <c r="P512" s="39"/>
      <c r="Q512" s="39"/>
      <c r="R512" s="33"/>
      <c r="S512" s="39"/>
      <c r="T512" s="39"/>
      <c r="U512" s="39"/>
      <c r="V512" s="39"/>
    </row>
    <row r="513" spans="1:22" ht="12.75" x14ac:dyDescent="0.2">
      <c r="A513" s="1"/>
      <c r="B513" s="62"/>
      <c r="D513" s="59"/>
      <c r="E513" s="59"/>
      <c r="G513" s="39"/>
      <c r="H513" s="35"/>
      <c r="I513" s="60"/>
      <c r="J513" s="61"/>
      <c r="L513" s="37"/>
      <c r="P513" s="39"/>
      <c r="Q513" s="39"/>
      <c r="R513" s="33"/>
      <c r="S513" s="39"/>
      <c r="T513" s="39"/>
      <c r="U513" s="39"/>
      <c r="V513" s="39"/>
    </row>
    <row r="514" spans="1:22" ht="12.75" x14ac:dyDescent="0.2">
      <c r="A514" s="1"/>
      <c r="B514" s="62"/>
      <c r="D514" s="59"/>
      <c r="E514" s="59"/>
      <c r="G514" s="39"/>
      <c r="H514" s="35"/>
      <c r="I514" s="60"/>
      <c r="J514" s="61"/>
      <c r="L514" s="37"/>
      <c r="P514" s="39"/>
      <c r="Q514" s="39"/>
      <c r="R514" s="33"/>
      <c r="S514" s="39"/>
      <c r="T514" s="39"/>
      <c r="U514" s="39"/>
      <c r="V514" s="39"/>
    </row>
    <row r="515" spans="1:22" ht="12.75" x14ac:dyDescent="0.2">
      <c r="A515" s="63"/>
      <c r="B515" s="32"/>
      <c r="D515" s="59"/>
      <c r="E515" s="59"/>
      <c r="G515" s="39"/>
      <c r="H515" s="35"/>
      <c r="I515" s="60"/>
      <c r="J515" s="61"/>
      <c r="L515" s="37"/>
      <c r="P515" s="39"/>
      <c r="Q515" s="39"/>
      <c r="R515" s="33"/>
      <c r="S515" s="39"/>
      <c r="T515" s="39"/>
      <c r="U515" s="39"/>
      <c r="V515" s="39"/>
    </row>
    <row r="516" spans="1:22" ht="12.75" x14ac:dyDescent="0.2">
      <c r="A516" s="63"/>
      <c r="B516" s="32"/>
      <c r="D516" s="59"/>
      <c r="E516" s="59"/>
      <c r="G516" s="39"/>
      <c r="H516" s="35"/>
      <c r="I516" s="60"/>
      <c r="J516" s="61"/>
      <c r="L516" s="37"/>
      <c r="P516" s="39"/>
      <c r="Q516" s="39"/>
      <c r="R516" s="33"/>
      <c r="S516" s="39"/>
      <c r="T516" s="39"/>
      <c r="U516" s="39"/>
      <c r="V516" s="39"/>
    </row>
    <row r="517" spans="1:22" ht="12.75" x14ac:dyDescent="0.2">
      <c r="A517" s="63"/>
      <c r="B517" s="32"/>
      <c r="D517" s="59"/>
      <c r="E517" s="59"/>
      <c r="G517" s="39"/>
      <c r="H517" s="35"/>
      <c r="I517" s="60"/>
      <c r="J517" s="61"/>
      <c r="L517" s="37"/>
      <c r="P517" s="39"/>
      <c r="Q517" s="39"/>
      <c r="R517" s="33"/>
      <c r="S517" s="39"/>
      <c r="T517" s="39"/>
      <c r="U517" s="39"/>
      <c r="V517" s="39"/>
    </row>
    <row r="518" spans="1:22" ht="12.75" x14ac:dyDescent="0.2">
      <c r="A518" s="63"/>
      <c r="B518" s="32"/>
      <c r="D518" s="59"/>
      <c r="E518" s="59"/>
      <c r="G518" s="39"/>
      <c r="H518" s="35"/>
      <c r="I518" s="60"/>
      <c r="J518" s="61"/>
      <c r="L518" s="37"/>
      <c r="P518" s="39"/>
      <c r="Q518" s="39"/>
      <c r="R518" s="33"/>
      <c r="S518" s="39"/>
      <c r="T518" s="39"/>
      <c r="U518" s="39"/>
      <c r="V518" s="39"/>
    </row>
    <row r="519" spans="1:22" ht="12.75" x14ac:dyDescent="0.2">
      <c r="A519" s="63"/>
      <c r="B519" s="32"/>
      <c r="D519" s="59"/>
      <c r="E519" s="59"/>
      <c r="G519" s="39"/>
      <c r="H519" s="35"/>
      <c r="I519" s="60"/>
      <c r="J519" s="61"/>
      <c r="L519" s="37"/>
      <c r="P519" s="39"/>
      <c r="Q519" s="39"/>
      <c r="R519" s="33"/>
      <c r="S519" s="39"/>
      <c r="T519" s="39"/>
      <c r="U519" s="39"/>
      <c r="V519" s="39"/>
    </row>
    <row r="520" spans="1:22" ht="12.75" x14ac:dyDescent="0.2">
      <c r="A520" s="63"/>
      <c r="B520" s="64"/>
      <c r="D520" s="59"/>
      <c r="E520" s="59"/>
      <c r="G520" s="39"/>
      <c r="H520" s="35"/>
      <c r="I520" s="60"/>
      <c r="J520" s="61"/>
      <c r="L520" s="37"/>
      <c r="P520" s="39"/>
      <c r="Q520" s="39"/>
      <c r="R520" s="33"/>
      <c r="S520" s="39"/>
      <c r="T520" s="39"/>
      <c r="U520" s="39"/>
      <c r="V520" s="39"/>
    </row>
    <row r="521" spans="1:22" ht="12.75" x14ac:dyDescent="0.2">
      <c r="A521" s="63"/>
      <c r="B521" s="64"/>
      <c r="D521" s="59"/>
      <c r="E521" s="59"/>
      <c r="G521" s="39"/>
      <c r="H521" s="35"/>
      <c r="I521" s="60"/>
      <c r="J521" s="61"/>
      <c r="L521" s="37"/>
      <c r="P521" s="39"/>
      <c r="Q521" s="39"/>
      <c r="R521" s="33"/>
      <c r="S521" s="39"/>
      <c r="T521" s="39"/>
      <c r="U521" s="39"/>
      <c r="V521" s="39"/>
    </row>
    <row r="522" spans="1:22" ht="12.75" x14ac:dyDescent="0.2">
      <c r="B522" s="32"/>
      <c r="D522" s="59"/>
      <c r="E522" s="59"/>
      <c r="G522" s="39"/>
      <c r="H522" s="35"/>
      <c r="I522" s="60"/>
      <c r="J522" s="61"/>
      <c r="L522" s="37"/>
      <c r="P522" s="39"/>
      <c r="Q522" s="39"/>
      <c r="R522" s="33"/>
      <c r="S522" s="39"/>
      <c r="T522" s="39"/>
      <c r="U522" s="39"/>
      <c r="V522" s="39"/>
    </row>
    <row r="523" spans="1:22" ht="12.75" x14ac:dyDescent="0.2">
      <c r="B523" s="32"/>
      <c r="D523" s="59"/>
      <c r="E523" s="59"/>
      <c r="G523" s="39"/>
      <c r="H523" s="35"/>
      <c r="I523" s="60"/>
      <c r="J523" s="61"/>
      <c r="L523" s="37"/>
      <c r="P523" s="39"/>
      <c r="Q523" s="39"/>
      <c r="R523" s="33"/>
      <c r="S523" s="39"/>
      <c r="T523" s="39"/>
      <c r="U523" s="39"/>
      <c r="V523" s="39"/>
    </row>
    <row r="524" spans="1:22" ht="12.75" x14ac:dyDescent="0.2">
      <c r="B524" s="32"/>
      <c r="D524" s="59"/>
      <c r="E524" s="59"/>
      <c r="G524" s="39"/>
      <c r="H524" s="35"/>
      <c r="I524" s="60"/>
      <c r="J524" s="61"/>
      <c r="L524" s="37"/>
      <c r="P524" s="39"/>
      <c r="Q524" s="39"/>
      <c r="R524" s="33"/>
      <c r="S524" s="39"/>
      <c r="T524" s="39"/>
      <c r="U524" s="39"/>
      <c r="V524" s="39"/>
    </row>
    <row r="525" spans="1:22" ht="12.75" x14ac:dyDescent="0.2">
      <c r="A525" s="1"/>
      <c r="B525" s="62"/>
      <c r="D525" s="59"/>
      <c r="E525" s="59"/>
      <c r="G525" s="39"/>
      <c r="H525" s="35"/>
      <c r="I525" s="60"/>
      <c r="J525" s="61"/>
      <c r="L525" s="37"/>
      <c r="P525" s="39"/>
      <c r="Q525" s="39"/>
      <c r="R525" s="33"/>
      <c r="S525" s="39"/>
      <c r="T525" s="39"/>
      <c r="U525" s="39"/>
      <c r="V525" s="39"/>
    </row>
    <row r="526" spans="1:22" ht="12.75" x14ac:dyDescent="0.2">
      <c r="A526" s="63"/>
      <c r="B526" s="32"/>
      <c r="D526" s="59"/>
      <c r="E526" s="59"/>
      <c r="G526" s="39"/>
      <c r="H526" s="35"/>
      <c r="J526" s="61"/>
    </row>
    <row r="527" spans="1:22" ht="12.75" x14ac:dyDescent="0.2">
      <c r="A527" s="1"/>
      <c r="B527" s="62"/>
      <c r="D527" s="59"/>
      <c r="E527" s="59"/>
      <c r="G527" s="39"/>
      <c r="H527" s="35"/>
      <c r="J527" s="61"/>
    </row>
    <row r="528" spans="1:22" ht="12.75" x14ac:dyDescent="0.2">
      <c r="A528" s="63"/>
      <c r="B528" s="32"/>
      <c r="D528" s="59"/>
      <c r="E528" s="59"/>
      <c r="G528" s="39"/>
      <c r="H528" s="35"/>
      <c r="J528" s="61"/>
    </row>
    <row r="529" spans="1:10" ht="12.75" x14ac:dyDescent="0.2">
      <c r="A529" s="63"/>
      <c r="B529" s="32"/>
      <c r="D529" s="59"/>
      <c r="E529" s="59"/>
      <c r="G529" s="39"/>
      <c r="H529" s="35"/>
      <c r="J529" s="61"/>
    </row>
    <row r="530" spans="1:10" ht="12.75" x14ac:dyDescent="0.2">
      <c r="A530" s="63"/>
      <c r="B530" s="32"/>
      <c r="D530" s="59"/>
      <c r="E530" s="59"/>
      <c r="G530" s="39"/>
      <c r="H530" s="35"/>
      <c r="J530" s="61"/>
    </row>
    <row r="531" spans="1:10" ht="12.75" x14ac:dyDescent="0.2">
      <c r="A531" s="63"/>
      <c r="B531" s="32"/>
      <c r="D531" s="59"/>
      <c r="E531" s="59"/>
      <c r="G531" s="39"/>
      <c r="H531" s="35"/>
      <c r="J531" s="61"/>
    </row>
    <row r="532" spans="1:10" ht="12.75" x14ac:dyDescent="0.2">
      <c r="A532" s="63"/>
      <c r="B532" s="64"/>
      <c r="D532" s="59"/>
      <c r="E532" s="59"/>
      <c r="G532" s="39"/>
      <c r="H532" s="35"/>
      <c r="J532" s="61"/>
    </row>
    <row r="533" spans="1:10" ht="12.75" x14ac:dyDescent="0.2">
      <c r="A533" s="63"/>
      <c r="B533" s="32"/>
      <c r="D533" s="59"/>
      <c r="E533" s="59"/>
      <c r="G533" s="39"/>
      <c r="H533" s="35"/>
      <c r="J533" s="61"/>
    </row>
    <row r="534" spans="1:10" ht="12.75" x14ac:dyDescent="0.2">
      <c r="A534" s="63"/>
      <c r="B534" s="64"/>
      <c r="D534" s="59"/>
      <c r="E534" s="59"/>
      <c r="G534" s="39"/>
      <c r="H534" s="35"/>
      <c r="J534" s="61"/>
    </row>
    <row r="535" spans="1:10" ht="12.75" x14ac:dyDescent="0.2">
      <c r="B535" s="32"/>
      <c r="D535" s="59"/>
      <c r="E535" s="59"/>
      <c r="G535" s="39"/>
      <c r="H535" s="35"/>
      <c r="J535" s="61"/>
    </row>
    <row r="536" spans="1:10" ht="12.75" x14ac:dyDescent="0.2">
      <c r="B536" s="32"/>
      <c r="D536" s="59"/>
      <c r="E536" s="59"/>
      <c r="G536" s="39"/>
      <c r="H536" s="35"/>
      <c r="J536" s="61"/>
    </row>
    <row r="537" spans="1:10" ht="12.75" x14ac:dyDescent="0.2">
      <c r="B537" s="32"/>
      <c r="D537" s="59"/>
      <c r="E537" s="59"/>
      <c r="G537" s="39"/>
      <c r="H537" s="35"/>
      <c r="J537" s="61"/>
    </row>
    <row r="538" spans="1:10" ht="12.75" x14ac:dyDescent="0.2">
      <c r="B538" s="32"/>
      <c r="D538" s="59"/>
      <c r="E538" s="59"/>
      <c r="G538" s="39"/>
      <c r="H538" s="35"/>
      <c r="J538" s="61"/>
    </row>
    <row r="539" spans="1:10" ht="12.75" x14ac:dyDescent="0.2">
      <c r="B539" s="32"/>
      <c r="D539" s="59"/>
      <c r="E539" s="59"/>
      <c r="G539" s="39"/>
      <c r="H539" s="35"/>
      <c r="J539" s="61"/>
    </row>
    <row r="540" spans="1:10" ht="12.75" x14ac:dyDescent="0.2">
      <c r="B540" s="32"/>
      <c r="D540" s="59"/>
      <c r="E540" s="59"/>
      <c r="G540" s="39"/>
      <c r="H540" s="35"/>
      <c r="J540" s="61"/>
    </row>
    <row r="541" spans="1:10" ht="12.75" x14ac:dyDescent="0.2">
      <c r="B541" s="32"/>
      <c r="D541" s="59"/>
      <c r="E541" s="59"/>
      <c r="G541" s="39"/>
      <c r="H541" s="35"/>
      <c r="J541" s="61"/>
    </row>
    <row r="542" spans="1:10" ht="12.75" x14ac:dyDescent="0.2">
      <c r="B542" s="32"/>
      <c r="D542" s="59"/>
      <c r="E542" s="59"/>
      <c r="G542" s="39"/>
      <c r="H542" s="35"/>
      <c r="J542" s="61"/>
    </row>
    <row r="543" spans="1:10" ht="12.75" x14ac:dyDescent="0.2">
      <c r="B543" s="32"/>
      <c r="D543" s="59"/>
      <c r="E543" s="59"/>
      <c r="G543" s="39"/>
      <c r="H543" s="35"/>
      <c r="J543" s="61"/>
    </row>
    <row r="544" spans="1:10" ht="12.75" x14ac:dyDescent="0.2">
      <c r="B544" s="32"/>
      <c r="D544" s="59"/>
      <c r="E544" s="59"/>
      <c r="G544" s="39"/>
      <c r="H544" s="35"/>
      <c r="J544" s="61"/>
    </row>
    <row r="545" spans="2:10" ht="12.75" x14ac:dyDescent="0.2">
      <c r="B545" s="32"/>
      <c r="D545" s="59"/>
      <c r="E545" s="59"/>
      <c r="G545" s="39"/>
      <c r="H545" s="35"/>
      <c r="J545" s="61"/>
    </row>
    <row r="546" spans="2:10" ht="12.75" x14ac:dyDescent="0.2">
      <c r="B546" s="32"/>
      <c r="D546" s="59"/>
      <c r="E546" s="59"/>
      <c r="G546" s="39"/>
      <c r="H546" s="35"/>
      <c r="J546" s="61"/>
    </row>
    <row r="547" spans="2:10" ht="12.75" x14ac:dyDescent="0.2">
      <c r="B547" s="32"/>
      <c r="D547" s="59"/>
      <c r="E547" s="59"/>
      <c r="G547" s="39"/>
      <c r="H547" s="35"/>
      <c r="J547" s="61"/>
    </row>
    <row r="548" spans="2:10" ht="12.75" x14ac:dyDescent="0.2">
      <c r="B548" s="32"/>
      <c r="D548" s="59"/>
      <c r="E548" s="59"/>
      <c r="G548" s="39"/>
      <c r="H548" s="35"/>
      <c r="J548" s="61"/>
    </row>
    <row r="549" spans="2:10" ht="12.75" x14ac:dyDescent="0.2">
      <c r="B549" s="32"/>
      <c r="D549" s="59"/>
      <c r="E549" s="59"/>
      <c r="G549" s="39"/>
      <c r="H549" s="35"/>
      <c r="J549" s="61"/>
    </row>
    <row r="550" spans="2:10" ht="12.75" x14ac:dyDescent="0.2">
      <c r="B550" s="32"/>
      <c r="D550" s="59"/>
      <c r="E550" s="59"/>
      <c r="G550" s="39"/>
      <c r="H550" s="35"/>
      <c r="J550" s="61"/>
    </row>
    <row r="551" spans="2:10" ht="12.75" x14ac:dyDescent="0.2">
      <c r="B551" s="32"/>
      <c r="D551" s="59"/>
      <c r="E551" s="59"/>
      <c r="G551" s="39"/>
      <c r="H551" s="35"/>
      <c r="J551" s="61"/>
    </row>
    <row r="552" spans="2:10" ht="12.75" x14ac:dyDescent="0.2">
      <c r="B552" s="32"/>
      <c r="D552" s="59"/>
      <c r="E552" s="59"/>
      <c r="G552" s="39"/>
      <c r="H552" s="35"/>
      <c r="J552" s="61"/>
    </row>
    <row r="553" spans="2:10" ht="12.75" x14ac:dyDescent="0.2">
      <c r="B553" s="32"/>
      <c r="D553" s="59"/>
      <c r="E553" s="59"/>
      <c r="G553" s="39"/>
      <c r="H553" s="35"/>
      <c r="J553" s="61"/>
    </row>
    <row r="554" spans="2:10" ht="12.75" x14ac:dyDescent="0.2">
      <c r="B554" s="32"/>
      <c r="D554" s="59"/>
      <c r="E554" s="59"/>
      <c r="G554" s="39"/>
      <c r="H554" s="35"/>
      <c r="J554" s="61"/>
    </row>
    <row r="555" spans="2:10" ht="12.75" x14ac:dyDescent="0.2">
      <c r="B555" s="32"/>
      <c r="D555" s="59"/>
      <c r="E555" s="59"/>
      <c r="G555" s="39"/>
      <c r="H555" s="35"/>
      <c r="J555" s="61"/>
    </row>
    <row r="556" spans="2:10" ht="12.75" x14ac:dyDescent="0.2">
      <c r="B556" s="32"/>
      <c r="D556" s="59"/>
      <c r="E556" s="59"/>
      <c r="G556" s="39"/>
      <c r="H556" s="35"/>
      <c r="J556" s="61"/>
    </row>
    <row r="557" spans="2:10" ht="12.75" x14ac:dyDescent="0.2">
      <c r="B557" s="32"/>
      <c r="D557" s="59"/>
      <c r="E557" s="59"/>
      <c r="G557" s="39"/>
      <c r="H557" s="35"/>
      <c r="J557" s="61"/>
    </row>
    <row r="558" spans="2:10" ht="12.75" x14ac:dyDescent="0.2">
      <c r="B558" s="32"/>
      <c r="D558" s="59"/>
      <c r="E558" s="59"/>
      <c r="G558" s="39"/>
      <c r="H558" s="35"/>
      <c r="J558" s="61"/>
    </row>
    <row r="559" spans="2:10" ht="12.75" x14ac:dyDescent="0.2">
      <c r="B559" s="32"/>
      <c r="D559" s="59"/>
      <c r="E559" s="59"/>
      <c r="G559" s="39"/>
      <c r="H559" s="35"/>
      <c r="J559" s="61"/>
    </row>
    <row r="560" spans="2:10" ht="12.75" x14ac:dyDescent="0.2">
      <c r="B560" s="32"/>
      <c r="D560" s="59"/>
      <c r="E560" s="59"/>
      <c r="G560" s="39"/>
      <c r="H560" s="35"/>
      <c r="J560" s="61"/>
    </row>
    <row r="561" spans="2:10" ht="12.75" x14ac:dyDescent="0.2">
      <c r="B561" s="32"/>
      <c r="D561" s="59"/>
      <c r="E561" s="59"/>
      <c r="G561" s="39"/>
      <c r="H561" s="35"/>
      <c r="J561" s="61"/>
    </row>
    <row r="562" spans="2:10" ht="12.75" x14ac:dyDescent="0.2">
      <c r="B562" s="32"/>
      <c r="D562" s="59"/>
      <c r="E562" s="59"/>
      <c r="G562" s="39"/>
      <c r="H562" s="35"/>
      <c r="J562" s="61"/>
    </row>
    <row r="563" spans="2:10" ht="12.75" x14ac:dyDescent="0.2">
      <c r="B563" s="32"/>
      <c r="D563" s="59"/>
      <c r="E563" s="59"/>
      <c r="G563" s="39"/>
      <c r="H563" s="35"/>
      <c r="J563" s="61"/>
    </row>
    <row r="564" spans="2:10" ht="12.75" x14ac:dyDescent="0.2">
      <c r="B564" s="32"/>
      <c r="D564" s="59"/>
      <c r="E564" s="59"/>
      <c r="G564" s="39"/>
      <c r="H564" s="35"/>
      <c r="J564" s="61"/>
    </row>
    <row r="565" spans="2:10" ht="12.75" x14ac:dyDescent="0.2">
      <c r="B565" s="32"/>
      <c r="D565" s="59"/>
      <c r="E565" s="59"/>
      <c r="G565" s="39"/>
      <c r="H565" s="35"/>
      <c r="J565" s="61"/>
    </row>
    <row r="566" spans="2:10" ht="12.75" x14ac:dyDescent="0.2">
      <c r="B566" s="32"/>
      <c r="D566" s="59"/>
      <c r="E566" s="59"/>
      <c r="G566" s="39"/>
      <c r="H566" s="35"/>
      <c r="J566" s="61"/>
    </row>
    <row r="567" spans="2:10" ht="12.75" x14ac:dyDescent="0.2">
      <c r="B567" s="32"/>
      <c r="D567" s="59"/>
      <c r="E567" s="59"/>
      <c r="G567" s="39"/>
      <c r="H567" s="35"/>
      <c r="J567" s="61"/>
    </row>
    <row r="568" spans="2:10" ht="12.75" x14ac:dyDescent="0.2">
      <c r="B568" s="32"/>
      <c r="D568" s="59"/>
      <c r="E568" s="59"/>
      <c r="G568" s="39"/>
      <c r="H568" s="35"/>
      <c r="J568" s="61"/>
    </row>
    <row r="569" spans="2:10" ht="12.75" x14ac:dyDescent="0.2">
      <c r="B569" s="32"/>
      <c r="D569" s="59"/>
      <c r="E569" s="59"/>
      <c r="G569" s="39"/>
      <c r="H569" s="35"/>
      <c r="J569" s="61"/>
    </row>
    <row r="570" spans="2:10" ht="12.75" x14ac:dyDescent="0.2">
      <c r="B570" s="32"/>
      <c r="D570" s="59"/>
      <c r="E570" s="59"/>
      <c r="G570" s="39"/>
      <c r="H570" s="35"/>
      <c r="J570" s="61"/>
    </row>
    <row r="571" spans="2:10" ht="12.75" x14ac:dyDescent="0.2">
      <c r="B571" s="32"/>
      <c r="D571" s="59"/>
      <c r="E571" s="59"/>
      <c r="G571" s="39"/>
      <c r="H571" s="35"/>
      <c r="J571" s="61"/>
    </row>
    <row r="572" spans="2:10" ht="12.75" x14ac:dyDescent="0.2">
      <c r="B572" s="32"/>
      <c r="D572" s="59"/>
      <c r="E572" s="59"/>
      <c r="G572" s="39"/>
      <c r="H572" s="35"/>
      <c r="J572" s="61"/>
    </row>
    <row r="573" spans="2:10" ht="12.75" x14ac:dyDescent="0.2">
      <c r="B573" s="32"/>
      <c r="D573" s="59"/>
      <c r="E573" s="59"/>
      <c r="G573" s="39"/>
      <c r="H573" s="35"/>
      <c r="J573" s="61"/>
    </row>
    <row r="574" spans="2:10" ht="12.75" x14ac:dyDescent="0.2">
      <c r="B574" s="32"/>
      <c r="D574" s="59"/>
      <c r="E574" s="59"/>
      <c r="G574" s="39"/>
      <c r="H574" s="35"/>
      <c r="J574" s="61"/>
    </row>
    <row r="575" spans="2:10" ht="12.75" x14ac:dyDescent="0.2">
      <c r="B575" s="32"/>
      <c r="D575" s="59"/>
      <c r="E575" s="59"/>
      <c r="G575" s="39"/>
      <c r="H575" s="35"/>
      <c r="J575" s="61"/>
    </row>
    <row r="576" spans="2:10" ht="12.75" x14ac:dyDescent="0.2">
      <c r="B576" s="32"/>
      <c r="D576" s="59"/>
      <c r="E576" s="59"/>
      <c r="G576" s="39"/>
      <c r="H576" s="35"/>
      <c r="J576" s="61"/>
    </row>
    <row r="577" spans="2:10" ht="12.75" x14ac:dyDescent="0.2">
      <c r="B577" s="32"/>
      <c r="D577" s="59"/>
      <c r="E577" s="59"/>
      <c r="G577" s="39"/>
      <c r="H577" s="35"/>
      <c r="J577" s="61"/>
    </row>
    <row r="578" spans="2:10" ht="12.75" x14ac:dyDescent="0.2">
      <c r="B578" s="32"/>
      <c r="D578" s="59"/>
      <c r="E578" s="59"/>
      <c r="G578" s="39"/>
      <c r="H578" s="35"/>
      <c r="J578" s="61"/>
    </row>
    <row r="579" spans="2:10" ht="12.75" x14ac:dyDescent="0.2">
      <c r="B579" s="32"/>
      <c r="D579" s="59"/>
      <c r="E579" s="59"/>
      <c r="G579" s="39"/>
      <c r="H579" s="35"/>
      <c r="J579" s="61"/>
    </row>
    <row r="580" spans="2:10" ht="12.75" x14ac:dyDescent="0.2">
      <c r="B580" s="32"/>
      <c r="D580" s="59"/>
      <c r="E580" s="59"/>
      <c r="G580" s="39"/>
      <c r="H580" s="35"/>
      <c r="J580" s="61"/>
    </row>
    <row r="581" spans="2:10" ht="12.75" x14ac:dyDescent="0.2">
      <c r="B581" s="32"/>
      <c r="D581" s="59"/>
      <c r="E581" s="59"/>
      <c r="G581" s="39"/>
      <c r="H581" s="35"/>
      <c r="J581" s="61"/>
    </row>
    <row r="582" spans="2:10" ht="12.75" x14ac:dyDescent="0.2">
      <c r="B582" s="32"/>
      <c r="D582" s="59"/>
      <c r="E582" s="59"/>
      <c r="G582" s="39"/>
      <c r="H582" s="35"/>
      <c r="J582" s="61"/>
    </row>
    <row r="583" spans="2:10" ht="12.75" x14ac:dyDescent="0.2">
      <c r="B583" s="32"/>
      <c r="D583" s="59"/>
      <c r="E583" s="59"/>
      <c r="G583" s="39"/>
      <c r="H583" s="35"/>
      <c r="J583" s="61"/>
    </row>
    <row r="584" spans="2:10" ht="12.75" x14ac:dyDescent="0.2">
      <c r="B584" s="32"/>
      <c r="D584" s="59"/>
      <c r="E584" s="59"/>
      <c r="G584" s="39"/>
      <c r="H584" s="35"/>
      <c r="J584" s="61"/>
    </row>
    <row r="585" spans="2:10" ht="12.75" x14ac:dyDescent="0.2">
      <c r="B585" s="32"/>
      <c r="D585" s="59"/>
      <c r="E585" s="59"/>
      <c r="G585" s="39"/>
      <c r="H585" s="35"/>
      <c r="J585" s="61"/>
    </row>
    <row r="586" spans="2:10" ht="12.75" x14ac:dyDescent="0.2">
      <c r="B586" s="32"/>
      <c r="D586" s="59"/>
      <c r="E586" s="59"/>
      <c r="G586" s="39"/>
      <c r="H586" s="35"/>
      <c r="J586" s="61"/>
    </row>
    <row r="587" spans="2:10" ht="12.75" x14ac:dyDescent="0.2">
      <c r="B587" s="32"/>
      <c r="D587" s="59"/>
      <c r="E587" s="59"/>
      <c r="G587" s="39"/>
      <c r="H587" s="35"/>
      <c r="J587" s="61"/>
    </row>
    <row r="588" spans="2:10" ht="12.75" x14ac:dyDescent="0.2">
      <c r="B588" s="32"/>
      <c r="D588" s="59"/>
      <c r="E588" s="59"/>
      <c r="G588" s="33"/>
      <c r="H588" s="65"/>
      <c r="J588" s="61"/>
    </row>
    <row r="589" spans="2:10" ht="12.75" x14ac:dyDescent="0.2">
      <c r="B589" s="32"/>
      <c r="D589" s="59"/>
      <c r="E589" s="59"/>
      <c r="G589" s="39"/>
      <c r="H589" s="35"/>
      <c r="J589" s="61"/>
    </row>
    <row r="590" spans="2:10" ht="12.75" x14ac:dyDescent="0.2">
      <c r="B590" s="32"/>
      <c r="D590" s="59"/>
      <c r="E590" s="59"/>
      <c r="G590" s="39"/>
      <c r="H590" s="35"/>
      <c r="J590" s="61"/>
    </row>
    <row r="591" spans="2:10" ht="12.75" x14ac:dyDescent="0.2">
      <c r="B591" s="32"/>
      <c r="D591" s="59"/>
      <c r="E591" s="59"/>
      <c r="G591" s="39"/>
      <c r="H591" s="35"/>
      <c r="J591" s="61"/>
    </row>
    <row r="592" spans="2:10" ht="12.75" x14ac:dyDescent="0.2">
      <c r="B592" s="32"/>
      <c r="D592" s="59"/>
      <c r="E592" s="59"/>
      <c r="G592" s="39"/>
      <c r="H592" s="35"/>
      <c r="J592" s="61"/>
    </row>
    <row r="593" spans="2:10" ht="12.75" x14ac:dyDescent="0.2">
      <c r="B593" s="32"/>
      <c r="D593" s="59"/>
      <c r="E593" s="59"/>
      <c r="G593" s="39"/>
      <c r="H593" s="35"/>
      <c r="J593" s="61"/>
    </row>
    <row r="594" spans="2:10" ht="12.75" x14ac:dyDescent="0.2">
      <c r="B594" s="32"/>
      <c r="D594" s="59"/>
      <c r="E594" s="59"/>
      <c r="G594" s="39"/>
      <c r="H594" s="35"/>
      <c r="J594" s="61"/>
    </row>
    <row r="595" spans="2:10" ht="12.75" x14ac:dyDescent="0.2">
      <c r="B595" s="32"/>
      <c r="D595" s="59"/>
      <c r="E595" s="59"/>
      <c r="G595" s="39"/>
      <c r="H595" s="35"/>
      <c r="J595" s="61"/>
    </row>
    <row r="596" spans="2:10" ht="12.75" x14ac:dyDescent="0.2">
      <c r="B596" s="32"/>
      <c r="D596" s="59"/>
      <c r="E596" s="59"/>
      <c r="G596" s="39"/>
      <c r="H596" s="35"/>
      <c r="J596" s="61"/>
    </row>
    <row r="597" spans="2:10" ht="12.75" x14ac:dyDescent="0.2">
      <c r="B597" s="32"/>
      <c r="D597" s="59"/>
      <c r="E597" s="59"/>
      <c r="G597" s="39"/>
      <c r="H597" s="35"/>
      <c r="J597" s="61"/>
    </row>
    <row r="598" spans="2:10" ht="12.75" x14ac:dyDescent="0.2">
      <c r="B598" s="32"/>
      <c r="D598" s="59"/>
      <c r="E598" s="59"/>
      <c r="G598" s="39"/>
      <c r="H598" s="35"/>
      <c r="J598" s="61"/>
    </row>
    <row r="599" spans="2:10" ht="12.75" x14ac:dyDescent="0.2">
      <c r="B599" s="32"/>
      <c r="D599" s="59"/>
      <c r="E599" s="59"/>
      <c r="G599" s="39"/>
      <c r="H599" s="35"/>
      <c r="J599" s="61"/>
    </row>
    <row r="600" spans="2:10" ht="12.75" x14ac:dyDescent="0.2">
      <c r="B600" s="32"/>
      <c r="D600" s="59"/>
      <c r="E600" s="59"/>
      <c r="G600" s="39"/>
      <c r="H600" s="35"/>
      <c r="J600" s="61"/>
    </row>
    <row r="601" spans="2:10" ht="12.75" x14ac:dyDescent="0.2">
      <c r="B601" s="32"/>
      <c r="D601" s="59"/>
      <c r="E601" s="59"/>
      <c r="G601" s="39"/>
      <c r="H601" s="35"/>
      <c r="J601" s="61"/>
    </row>
    <row r="602" spans="2:10" ht="12.75" x14ac:dyDescent="0.2">
      <c r="B602" s="32"/>
      <c r="D602" s="59"/>
      <c r="E602" s="59"/>
      <c r="G602" s="39"/>
      <c r="H602" s="35"/>
      <c r="J602" s="61"/>
    </row>
    <row r="603" spans="2:10" ht="12.75" x14ac:dyDescent="0.2">
      <c r="B603" s="32"/>
      <c r="D603" s="59"/>
      <c r="E603" s="59"/>
      <c r="G603" s="39"/>
      <c r="H603" s="35"/>
      <c r="J603" s="61"/>
    </row>
    <row r="604" spans="2:10" ht="12.75" x14ac:dyDescent="0.2">
      <c r="B604" s="32"/>
      <c r="D604" s="59"/>
      <c r="E604" s="59"/>
      <c r="G604" s="39"/>
      <c r="H604" s="35"/>
      <c r="J604" s="61"/>
    </row>
    <row r="605" spans="2:10" ht="12.75" x14ac:dyDescent="0.2">
      <c r="B605" s="32"/>
      <c r="D605" s="59"/>
      <c r="E605" s="59"/>
      <c r="G605" s="39"/>
      <c r="H605" s="35"/>
      <c r="J605" s="61"/>
    </row>
    <row r="606" spans="2:10" ht="12.75" x14ac:dyDescent="0.2">
      <c r="B606" s="32"/>
      <c r="D606" s="59"/>
      <c r="E606" s="59"/>
      <c r="G606" s="39"/>
      <c r="H606" s="35"/>
      <c r="J606" s="61"/>
    </row>
    <row r="607" spans="2:10" ht="12.75" x14ac:dyDescent="0.2">
      <c r="B607" s="32"/>
      <c r="D607" s="59"/>
      <c r="E607" s="59"/>
      <c r="G607" s="39"/>
      <c r="H607" s="35"/>
      <c r="J607" s="61"/>
    </row>
    <row r="608" spans="2:10" ht="12.75" x14ac:dyDescent="0.2">
      <c r="B608" s="32"/>
      <c r="D608" s="59"/>
      <c r="E608" s="59"/>
      <c r="G608" s="39"/>
      <c r="H608" s="35"/>
      <c r="J608" s="61"/>
    </row>
    <row r="609" spans="2:10" ht="12.75" x14ac:dyDescent="0.2">
      <c r="B609" s="32"/>
      <c r="D609" s="59"/>
      <c r="E609" s="59"/>
      <c r="G609" s="39"/>
      <c r="H609" s="35"/>
      <c r="J609" s="61"/>
    </row>
    <row r="610" spans="2:10" ht="12.75" x14ac:dyDescent="0.2">
      <c r="B610" s="32"/>
      <c r="D610" s="59"/>
      <c r="E610" s="59"/>
      <c r="G610" s="39"/>
      <c r="H610" s="35"/>
      <c r="J610" s="61"/>
    </row>
    <row r="611" spans="2:10" ht="12.75" x14ac:dyDescent="0.2">
      <c r="B611" s="32"/>
      <c r="D611" s="59"/>
      <c r="E611" s="59"/>
      <c r="G611" s="39"/>
      <c r="H611" s="35"/>
      <c r="J611" s="61"/>
    </row>
    <row r="612" spans="2:10" ht="12.75" x14ac:dyDescent="0.2">
      <c r="B612" s="32"/>
      <c r="D612" s="59"/>
      <c r="E612" s="59"/>
      <c r="G612" s="39"/>
      <c r="H612" s="35"/>
      <c r="J612" s="61"/>
    </row>
    <row r="613" spans="2:10" ht="12.75" x14ac:dyDescent="0.2">
      <c r="B613" s="32"/>
      <c r="D613" s="59"/>
      <c r="E613" s="59"/>
      <c r="G613" s="39"/>
      <c r="H613" s="35"/>
      <c r="J613" s="61"/>
    </row>
    <row r="614" spans="2:10" ht="12.75" x14ac:dyDescent="0.2">
      <c r="B614" s="32"/>
      <c r="D614" s="59"/>
      <c r="E614" s="59"/>
      <c r="G614" s="39"/>
      <c r="H614" s="35"/>
      <c r="J614" s="61"/>
    </row>
    <row r="615" spans="2:10" ht="12.75" x14ac:dyDescent="0.2">
      <c r="B615" s="32"/>
      <c r="D615" s="59"/>
      <c r="E615" s="59"/>
      <c r="G615" s="39"/>
      <c r="H615" s="35"/>
      <c r="J615" s="61"/>
    </row>
    <row r="616" spans="2:10" ht="12.75" x14ac:dyDescent="0.2">
      <c r="B616" s="32"/>
      <c r="D616" s="59"/>
      <c r="E616" s="59"/>
      <c r="G616" s="39"/>
      <c r="H616" s="35"/>
      <c r="J616" s="61"/>
    </row>
    <row r="617" spans="2:10" ht="12.75" x14ac:dyDescent="0.2">
      <c r="B617" s="32"/>
      <c r="D617" s="59"/>
      <c r="E617" s="59"/>
      <c r="G617" s="39"/>
      <c r="H617" s="35"/>
      <c r="J617" s="61"/>
    </row>
    <row r="618" spans="2:10" ht="12.75" x14ac:dyDescent="0.2">
      <c r="B618" s="32"/>
      <c r="D618" s="59"/>
      <c r="E618" s="59"/>
      <c r="G618" s="39"/>
      <c r="H618" s="35"/>
      <c r="J618" s="61"/>
    </row>
    <row r="619" spans="2:10" ht="12.75" x14ac:dyDescent="0.2">
      <c r="B619" s="32"/>
      <c r="D619" s="59"/>
      <c r="E619" s="59"/>
      <c r="G619" s="39"/>
      <c r="H619" s="35"/>
      <c r="J619" s="61"/>
    </row>
    <row r="620" spans="2:10" ht="12.75" x14ac:dyDescent="0.2">
      <c r="B620" s="32"/>
      <c r="D620" s="59"/>
      <c r="E620" s="59"/>
      <c r="G620" s="39"/>
      <c r="H620" s="35"/>
      <c r="J620" s="61"/>
    </row>
    <row r="621" spans="2:10" ht="12.75" x14ac:dyDescent="0.2">
      <c r="B621" s="32"/>
      <c r="D621" s="59"/>
      <c r="E621" s="59"/>
      <c r="G621" s="39"/>
      <c r="H621" s="35"/>
      <c r="J621" s="61"/>
    </row>
    <row r="622" spans="2:10" ht="12.75" x14ac:dyDescent="0.2">
      <c r="B622" s="32"/>
      <c r="D622" s="59"/>
      <c r="E622" s="59"/>
      <c r="G622" s="39"/>
      <c r="H622" s="35"/>
      <c r="J622" s="61"/>
    </row>
    <row r="623" spans="2:10" ht="12.75" x14ac:dyDescent="0.2">
      <c r="B623" s="32"/>
      <c r="D623" s="59"/>
      <c r="E623" s="59"/>
      <c r="G623" s="39"/>
      <c r="H623" s="35"/>
      <c r="J623" s="61"/>
    </row>
    <row r="624" spans="2:10" ht="12.75" x14ac:dyDescent="0.2">
      <c r="B624" s="32"/>
      <c r="D624" s="59"/>
      <c r="E624" s="59"/>
      <c r="G624" s="39"/>
      <c r="H624" s="35"/>
      <c r="J624" s="61"/>
    </row>
    <row r="625" spans="2:10" ht="12.75" x14ac:dyDescent="0.2">
      <c r="B625" s="32"/>
      <c r="D625" s="59"/>
      <c r="E625" s="59"/>
      <c r="G625" s="39"/>
      <c r="H625" s="35"/>
      <c r="J625" s="61"/>
    </row>
    <row r="626" spans="2:10" ht="12.75" x14ac:dyDescent="0.2">
      <c r="B626" s="32"/>
      <c r="D626" s="59"/>
      <c r="E626" s="59"/>
      <c r="G626" s="39"/>
      <c r="H626" s="35"/>
      <c r="J626" s="61"/>
    </row>
    <row r="627" spans="2:10" ht="12.75" x14ac:dyDescent="0.2">
      <c r="B627" s="32"/>
      <c r="D627" s="59"/>
      <c r="E627" s="59"/>
      <c r="G627" s="39"/>
      <c r="H627" s="35"/>
      <c r="J627" s="61"/>
    </row>
    <row r="628" spans="2:10" ht="12.75" x14ac:dyDescent="0.2">
      <c r="B628" s="32"/>
      <c r="D628" s="59"/>
      <c r="E628" s="59"/>
      <c r="G628" s="39"/>
      <c r="H628" s="35"/>
      <c r="J628" s="61"/>
    </row>
    <row r="629" spans="2:10" ht="12.75" x14ac:dyDescent="0.2">
      <c r="B629" s="32"/>
      <c r="D629" s="59"/>
      <c r="E629" s="59"/>
      <c r="G629" s="39"/>
      <c r="H629" s="35"/>
      <c r="J629" s="61"/>
    </row>
    <row r="630" spans="2:10" ht="12.75" x14ac:dyDescent="0.2">
      <c r="B630" s="32"/>
      <c r="D630" s="59"/>
      <c r="E630" s="59"/>
      <c r="G630" s="39"/>
      <c r="H630" s="35"/>
      <c r="J630" s="61"/>
    </row>
    <row r="631" spans="2:10" ht="12.75" x14ac:dyDescent="0.2">
      <c r="B631" s="32"/>
      <c r="D631" s="59"/>
      <c r="E631" s="59"/>
      <c r="G631" s="39"/>
      <c r="H631" s="35"/>
      <c r="J631" s="61"/>
    </row>
    <row r="632" spans="2:10" ht="12.75" x14ac:dyDescent="0.2">
      <c r="B632" s="32"/>
      <c r="D632" s="59"/>
      <c r="E632" s="59"/>
      <c r="G632" s="39"/>
      <c r="H632" s="35"/>
      <c r="J632" s="61"/>
    </row>
    <row r="633" spans="2:10" ht="12.75" x14ac:dyDescent="0.2">
      <c r="B633" s="32"/>
      <c r="D633" s="59"/>
      <c r="E633" s="59"/>
      <c r="G633" s="39"/>
      <c r="H633" s="35"/>
      <c r="J633" s="61"/>
    </row>
    <row r="634" spans="2:10" ht="12.75" x14ac:dyDescent="0.2">
      <c r="B634" s="32"/>
      <c r="D634" s="59"/>
      <c r="E634" s="59"/>
      <c r="G634" s="39"/>
      <c r="H634" s="35"/>
      <c r="J634" s="61"/>
    </row>
    <row r="635" spans="2:10" ht="12.75" x14ac:dyDescent="0.2">
      <c r="B635" s="32"/>
      <c r="D635" s="59"/>
      <c r="E635" s="59"/>
      <c r="G635" s="39"/>
      <c r="H635" s="35"/>
      <c r="J635" s="61"/>
    </row>
    <row r="636" spans="2:10" ht="12.75" x14ac:dyDescent="0.2">
      <c r="B636" s="32"/>
      <c r="D636" s="59"/>
      <c r="E636" s="59"/>
      <c r="G636" s="39"/>
      <c r="H636" s="35"/>
      <c r="J636" s="61"/>
    </row>
    <row r="637" spans="2:10" ht="12.75" x14ac:dyDescent="0.2">
      <c r="B637" s="32"/>
      <c r="D637" s="59"/>
      <c r="E637" s="59"/>
      <c r="G637" s="39"/>
      <c r="H637" s="35"/>
      <c r="J637" s="61"/>
    </row>
    <row r="638" spans="2:10" ht="12.75" x14ac:dyDescent="0.2">
      <c r="B638" s="32"/>
      <c r="D638" s="59"/>
      <c r="E638" s="59"/>
      <c r="G638" s="39"/>
      <c r="H638" s="35"/>
      <c r="J638" s="61"/>
    </row>
    <row r="639" spans="2:10" ht="12.75" x14ac:dyDescent="0.2">
      <c r="B639" s="32"/>
      <c r="D639" s="59"/>
      <c r="E639" s="59"/>
      <c r="G639" s="39"/>
      <c r="H639" s="35"/>
      <c r="J639" s="61"/>
    </row>
    <row r="640" spans="2:10" ht="12.75" x14ac:dyDescent="0.2">
      <c r="B640" s="32"/>
      <c r="D640" s="59"/>
      <c r="E640" s="59"/>
      <c r="G640" s="39"/>
      <c r="H640" s="35"/>
      <c r="J640" s="61"/>
    </row>
    <row r="641" spans="2:10" ht="12.75" x14ac:dyDescent="0.2">
      <c r="B641" s="32"/>
      <c r="D641" s="59"/>
      <c r="E641" s="59"/>
      <c r="G641" s="39"/>
      <c r="H641" s="35"/>
      <c r="J641" s="61"/>
    </row>
    <row r="642" spans="2:10" ht="12.75" x14ac:dyDescent="0.2">
      <c r="B642" s="32"/>
      <c r="D642" s="59"/>
      <c r="E642" s="59"/>
      <c r="G642" s="39"/>
      <c r="H642" s="35"/>
      <c r="J642" s="61"/>
    </row>
    <row r="643" spans="2:10" ht="12.75" x14ac:dyDescent="0.2">
      <c r="B643" s="32"/>
      <c r="D643" s="59"/>
      <c r="E643" s="59"/>
      <c r="G643" s="39"/>
      <c r="H643" s="35"/>
      <c r="J643" s="61"/>
    </row>
    <row r="644" spans="2:10" ht="12.75" x14ac:dyDescent="0.2">
      <c r="B644" s="32"/>
      <c r="D644" s="59"/>
      <c r="E644" s="59"/>
      <c r="G644" s="39"/>
      <c r="H644" s="35"/>
      <c r="J644" s="61"/>
    </row>
    <row r="645" spans="2:10" ht="12.75" x14ac:dyDescent="0.2">
      <c r="B645" s="32"/>
      <c r="D645" s="59"/>
      <c r="E645" s="59"/>
      <c r="G645" s="39"/>
      <c r="H645" s="35"/>
      <c r="J645" s="61"/>
    </row>
    <row r="646" spans="2:10" ht="12.75" x14ac:dyDescent="0.2">
      <c r="B646" s="32"/>
      <c r="D646" s="59"/>
      <c r="E646" s="59"/>
      <c r="G646" s="39"/>
      <c r="H646" s="35"/>
      <c r="J646" s="61"/>
    </row>
    <row r="647" spans="2:10" ht="12.75" x14ac:dyDescent="0.2">
      <c r="B647" s="32"/>
      <c r="D647" s="59"/>
      <c r="E647" s="59"/>
      <c r="G647" s="39"/>
      <c r="H647" s="35"/>
      <c r="J647" s="61"/>
    </row>
    <row r="648" spans="2:10" ht="12.75" x14ac:dyDescent="0.2">
      <c r="B648" s="32"/>
      <c r="D648" s="59"/>
      <c r="E648" s="59"/>
      <c r="G648" s="39"/>
      <c r="H648" s="35"/>
      <c r="J648" s="61"/>
    </row>
    <row r="649" spans="2:10" ht="12.75" x14ac:dyDescent="0.2">
      <c r="B649" s="32"/>
      <c r="D649" s="59"/>
      <c r="E649" s="59"/>
      <c r="G649" s="39"/>
      <c r="H649" s="35"/>
      <c r="J649" s="61"/>
    </row>
    <row r="650" spans="2:10" ht="12.75" x14ac:dyDescent="0.2">
      <c r="B650" s="32"/>
      <c r="D650" s="59"/>
      <c r="E650" s="59"/>
      <c r="G650" s="39"/>
      <c r="H650" s="35"/>
      <c r="J650" s="61"/>
    </row>
    <row r="651" spans="2:10" ht="12.75" x14ac:dyDescent="0.2">
      <c r="B651" s="32"/>
      <c r="D651" s="59"/>
      <c r="E651" s="59"/>
      <c r="G651" s="39"/>
      <c r="H651" s="35"/>
      <c r="J651" s="61"/>
    </row>
    <row r="652" spans="2:10" ht="12.75" x14ac:dyDescent="0.2">
      <c r="B652" s="32"/>
      <c r="D652" s="59"/>
      <c r="E652" s="59"/>
      <c r="G652" s="39"/>
      <c r="H652" s="35"/>
      <c r="J652" s="61"/>
    </row>
    <row r="653" spans="2:10" ht="12.75" x14ac:dyDescent="0.2">
      <c r="B653" s="32"/>
      <c r="D653" s="59"/>
      <c r="E653" s="59"/>
      <c r="G653" s="39"/>
      <c r="H653" s="35"/>
      <c r="J653" s="61"/>
    </row>
    <row r="654" spans="2:10" ht="12.75" x14ac:dyDescent="0.2">
      <c r="B654" s="32"/>
      <c r="D654" s="59"/>
      <c r="E654" s="59"/>
      <c r="G654" s="39"/>
      <c r="H654" s="35"/>
      <c r="J654" s="61"/>
    </row>
    <row r="655" spans="2:10" ht="12.75" x14ac:dyDescent="0.2">
      <c r="B655" s="32"/>
      <c r="D655" s="59"/>
      <c r="E655" s="59"/>
      <c r="G655" s="39"/>
      <c r="H655" s="35"/>
      <c r="J655" s="61"/>
    </row>
    <row r="656" spans="2:10" ht="12.75" x14ac:dyDescent="0.2">
      <c r="B656" s="32"/>
      <c r="D656" s="59"/>
      <c r="E656" s="59"/>
      <c r="G656" s="39"/>
      <c r="H656" s="35"/>
      <c r="J656" s="61"/>
    </row>
    <row r="657" spans="2:10" ht="12.75" x14ac:dyDescent="0.2">
      <c r="B657" s="32"/>
      <c r="D657" s="59"/>
      <c r="E657" s="59"/>
      <c r="G657" s="39"/>
      <c r="H657" s="35"/>
      <c r="J657" s="61"/>
    </row>
    <row r="658" spans="2:10" ht="12.75" x14ac:dyDescent="0.2">
      <c r="B658" s="32"/>
      <c r="D658" s="59"/>
      <c r="E658" s="59"/>
      <c r="G658" s="39"/>
      <c r="H658" s="35"/>
      <c r="J658" s="61"/>
    </row>
    <row r="659" spans="2:10" ht="12.75" x14ac:dyDescent="0.2">
      <c r="B659" s="32"/>
      <c r="D659" s="59"/>
      <c r="E659" s="59"/>
      <c r="G659" s="39"/>
      <c r="H659" s="35"/>
      <c r="J659" s="61"/>
    </row>
    <row r="660" spans="2:10" ht="12.75" x14ac:dyDescent="0.2">
      <c r="B660" s="32"/>
      <c r="D660" s="59"/>
      <c r="E660" s="59"/>
      <c r="G660" s="39"/>
      <c r="H660" s="35"/>
      <c r="J660" s="61"/>
    </row>
    <row r="661" spans="2:10" ht="12.75" x14ac:dyDescent="0.2">
      <c r="B661" s="32"/>
      <c r="D661" s="59"/>
      <c r="E661" s="59"/>
      <c r="G661" s="39"/>
      <c r="H661" s="35"/>
      <c r="J661" s="61"/>
    </row>
    <row r="662" spans="2:10" ht="12.75" x14ac:dyDescent="0.2">
      <c r="B662" s="32"/>
      <c r="D662" s="59"/>
      <c r="E662" s="59"/>
      <c r="G662" s="39"/>
      <c r="H662" s="35"/>
      <c r="J662" s="61"/>
    </row>
    <row r="663" spans="2:10" ht="12.75" x14ac:dyDescent="0.2">
      <c r="B663" s="32"/>
      <c r="D663" s="59"/>
      <c r="E663" s="59"/>
      <c r="G663" s="39"/>
      <c r="H663" s="35"/>
      <c r="J663" s="61"/>
    </row>
    <row r="664" spans="2:10" ht="12.75" x14ac:dyDescent="0.2">
      <c r="B664" s="32"/>
      <c r="D664" s="59"/>
      <c r="E664" s="59"/>
      <c r="G664" s="39"/>
      <c r="H664" s="35"/>
      <c r="J664" s="61"/>
    </row>
    <row r="665" spans="2:10" ht="12.75" x14ac:dyDescent="0.2">
      <c r="B665" s="32"/>
      <c r="D665" s="59"/>
      <c r="E665" s="59"/>
      <c r="G665" s="39"/>
      <c r="H665" s="35"/>
      <c r="J665" s="61"/>
    </row>
    <row r="666" spans="2:10" ht="12.75" x14ac:dyDescent="0.2">
      <c r="B666" s="32"/>
      <c r="D666" s="59"/>
      <c r="E666" s="59"/>
      <c r="G666" s="39"/>
      <c r="H666" s="35"/>
      <c r="J666" s="61"/>
    </row>
    <row r="667" spans="2:10" ht="12.75" x14ac:dyDescent="0.2">
      <c r="B667" s="32"/>
      <c r="D667" s="59"/>
      <c r="E667" s="59"/>
      <c r="G667" s="39"/>
      <c r="H667" s="35"/>
      <c r="J667" s="61"/>
    </row>
    <row r="668" spans="2:10" ht="12.75" x14ac:dyDescent="0.2">
      <c r="B668" s="32"/>
      <c r="D668" s="59"/>
      <c r="E668" s="59"/>
      <c r="G668" s="39"/>
      <c r="H668" s="35"/>
      <c r="J668" s="61"/>
    </row>
    <row r="669" spans="2:10" ht="12.75" x14ac:dyDescent="0.2">
      <c r="B669" s="32"/>
      <c r="D669" s="59"/>
      <c r="E669" s="59"/>
      <c r="G669" s="39"/>
      <c r="H669" s="35"/>
      <c r="J669" s="61"/>
    </row>
    <row r="670" spans="2:10" ht="12.75" x14ac:dyDescent="0.2">
      <c r="B670" s="32"/>
      <c r="D670" s="59"/>
      <c r="E670" s="59"/>
      <c r="G670" s="39"/>
      <c r="H670" s="35"/>
      <c r="J670" s="61"/>
    </row>
    <row r="671" spans="2:10" ht="12.75" x14ac:dyDescent="0.2">
      <c r="B671" s="32"/>
      <c r="D671" s="59"/>
      <c r="E671" s="59"/>
      <c r="G671" s="39"/>
      <c r="H671" s="35"/>
      <c r="J671" s="61"/>
    </row>
    <row r="672" spans="2:10" ht="12.75" x14ac:dyDescent="0.2">
      <c r="B672" s="32"/>
      <c r="D672" s="59"/>
      <c r="E672" s="59"/>
      <c r="G672" s="39"/>
      <c r="H672" s="35"/>
      <c r="J672" s="61"/>
    </row>
    <row r="673" spans="2:10" ht="12.75" x14ac:dyDescent="0.2">
      <c r="B673" s="32"/>
      <c r="D673" s="59"/>
      <c r="E673" s="59"/>
      <c r="G673" s="39"/>
      <c r="H673" s="35"/>
      <c r="J673" s="61"/>
    </row>
    <row r="674" spans="2:10" ht="12.75" x14ac:dyDescent="0.2">
      <c r="B674" s="32"/>
      <c r="D674" s="59"/>
      <c r="E674" s="59"/>
      <c r="G674" s="39"/>
      <c r="H674" s="35"/>
      <c r="J674" s="61"/>
    </row>
    <row r="675" spans="2:10" ht="12.75" x14ac:dyDescent="0.2">
      <c r="B675" s="32"/>
      <c r="D675" s="59"/>
      <c r="E675" s="59"/>
      <c r="G675" s="39"/>
      <c r="H675" s="35"/>
      <c r="J675" s="61"/>
    </row>
    <row r="676" spans="2:10" ht="12.75" x14ac:dyDescent="0.2">
      <c r="B676" s="32"/>
      <c r="D676" s="59"/>
      <c r="E676" s="59"/>
      <c r="G676" s="39"/>
      <c r="H676" s="35"/>
      <c r="J676" s="61"/>
    </row>
    <row r="677" spans="2:10" ht="12.75" x14ac:dyDescent="0.2">
      <c r="B677" s="32"/>
      <c r="D677" s="59"/>
      <c r="E677" s="59"/>
      <c r="G677" s="39"/>
      <c r="H677" s="35"/>
      <c r="J677" s="61"/>
    </row>
    <row r="678" spans="2:10" ht="12.75" x14ac:dyDescent="0.2">
      <c r="B678" s="32"/>
      <c r="D678" s="59"/>
      <c r="E678" s="59"/>
      <c r="G678" s="39"/>
      <c r="H678" s="35"/>
      <c r="J678" s="61"/>
    </row>
    <row r="679" spans="2:10" ht="12.75" x14ac:dyDescent="0.2">
      <c r="B679" s="32"/>
      <c r="D679" s="59"/>
      <c r="E679" s="59"/>
      <c r="G679" s="39"/>
      <c r="H679" s="35"/>
      <c r="J679" s="61"/>
    </row>
    <row r="680" spans="2:10" ht="12.75" x14ac:dyDescent="0.2">
      <c r="B680" s="32"/>
      <c r="D680" s="59"/>
      <c r="E680" s="59"/>
      <c r="G680" s="39"/>
      <c r="H680" s="35"/>
      <c r="J680" s="61"/>
    </row>
    <row r="681" spans="2:10" ht="12.75" x14ac:dyDescent="0.2">
      <c r="B681" s="32"/>
      <c r="D681" s="59"/>
      <c r="E681" s="59"/>
      <c r="G681" s="39"/>
      <c r="H681" s="35"/>
      <c r="J681" s="61"/>
    </row>
    <row r="682" spans="2:10" ht="12.75" x14ac:dyDescent="0.2">
      <c r="B682" s="32"/>
      <c r="D682" s="59"/>
      <c r="E682" s="59"/>
      <c r="G682" s="39"/>
      <c r="H682" s="35"/>
      <c r="J682" s="61"/>
    </row>
    <row r="683" spans="2:10" ht="12.75" x14ac:dyDescent="0.2">
      <c r="B683" s="32"/>
      <c r="D683" s="59"/>
      <c r="E683" s="59"/>
      <c r="G683" s="39"/>
      <c r="H683" s="35"/>
      <c r="J683" s="61"/>
    </row>
    <row r="684" spans="2:10" ht="12.75" x14ac:dyDescent="0.2">
      <c r="B684" s="32"/>
      <c r="D684" s="59"/>
      <c r="E684" s="59"/>
      <c r="G684" s="39"/>
      <c r="H684" s="35"/>
      <c r="J684" s="61"/>
    </row>
    <row r="685" spans="2:10" ht="12.75" x14ac:dyDescent="0.2">
      <c r="B685" s="32"/>
      <c r="D685" s="59"/>
      <c r="E685" s="59"/>
      <c r="G685" s="39"/>
      <c r="H685" s="35"/>
      <c r="J685" s="61"/>
    </row>
    <row r="686" spans="2:10" ht="12.75" x14ac:dyDescent="0.2">
      <c r="B686" s="32"/>
      <c r="D686" s="59"/>
      <c r="E686" s="59"/>
      <c r="G686" s="39"/>
      <c r="H686" s="35"/>
      <c r="J686" s="61"/>
    </row>
    <row r="687" spans="2:10" ht="12.75" x14ac:dyDescent="0.2">
      <c r="B687" s="32"/>
      <c r="D687" s="59"/>
      <c r="E687" s="59"/>
      <c r="G687" s="39"/>
      <c r="H687" s="35"/>
      <c r="J687" s="61"/>
    </row>
    <row r="688" spans="2:10" ht="12.75" x14ac:dyDescent="0.2">
      <c r="B688" s="32"/>
      <c r="D688" s="59"/>
      <c r="E688" s="59"/>
      <c r="G688" s="39"/>
      <c r="H688" s="35"/>
      <c r="J688" s="61"/>
    </row>
    <row r="689" spans="2:10" ht="12.75" x14ac:dyDescent="0.2">
      <c r="B689" s="32"/>
      <c r="D689" s="59"/>
      <c r="E689" s="59"/>
      <c r="G689" s="39"/>
      <c r="H689" s="35"/>
      <c r="J689" s="61"/>
    </row>
    <row r="690" spans="2:10" ht="12.75" x14ac:dyDescent="0.2">
      <c r="B690" s="32"/>
      <c r="D690" s="59"/>
      <c r="E690" s="59"/>
      <c r="G690" s="39"/>
      <c r="H690" s="35"/>
      <c r="J690" s="61"/>
    </row>
    <row r="691" spans="2:10" ht="12.75" x14ac:dyDescent="0.2">
      <c r="B691" s="32"/>
      <c r="D691" s="59"/>
      <c r="E691" s="59"/>
      <c r="G691" s="39"/>
      <c r="H691" s="35"/>
      <c r="J691" s="61"/>
    </row>
    <row r="692" spans="2:10" ht="12.75" x14ac:dyDescent="0.2">
      <c r="B692" s="32"/>
      <c r="D692" s="59"/>
      <c r="E692" s="59"/>
      <c r="G692" s="39"/>
      <c r="H692" s="35"/>
      <c r="J692" s="61"/>
    </row>
    <row r="693" spans="2:10" ht="12.75" x14ac:dyDescent="0.2">
      <c r="B693" s="32"/>
      <c r="D693" s="59"/>
      <c r="E693" s="59"/>
      <c r="G693" s="39"/>
      <c r="H693" s="35"/>
      <c r="J693" s="61"/>
    </row>
    <row r="694" spans="2:10" ht="12.75" x14ac:dyDescent="0.2">
      <c r="B694" s="32"/>
      <c r="D694" s="59"/>
      <c r="E694" s="59"/>
      <c r="G694" s="39"/>
      <c r="H694" s="35"/>
      <c r="J694" s="61"/>
    </row>
    <row r="695" spans="2:10" ht="12.75" x14ac:dyDescent="0.2">
      <c r="B695" s="32"/>
      <c r="D695" s="59"/>
      <c r="E695" s="59"/>
      <c r="G695" s="39"/>
      <c r="H695" s="35"/>
      <c r="J695" s="61"/>
    </row>
    <row r="696" spans="2:10" ht="12.75" x14ac:dyDescent="0.2">
      <c r="B696" s="32"/>
      <c r="D696" s="59"/>
      <c r="E696" s="59"/>
      <c r="G696" s="39"/>
      <c r="H696" s="35"/>
      <c r="J696" s="61"/>
    </row>
    <row r="697" spans="2:10" ht="12.75" x14ac:dyDescent="0.2">
      <c r="B697" s="32"/>
      <c r="D697" s="59"/>
      <c r="E697" s="59"/>
      <c r="G697" s="39"/>
      <c r="H697" s="35"/>
      <c r="J697" s="61"/>
    </row>
    <row r="698" spans="2:10" ht="12.75" x14ac:dyDescent="0.2">
      <c r="B698" s="32"/>
      <c r="D698" s="59"/>
      <c r="E698" s="59"/>
      <c r="G698" s="39"/>
      <c r="H698" s="35"/>
      <c r="J698" s="61"/>
    </row>
    <row r="699" spans="2:10" ht="12.75" x14ac:dyDescent="0.2">
      <c r="B699" s="32"/>
      <c r="D699" s="59"/>
      <c r="E699" s="59"/>
      <c r="G699" s="39"/>
      <c r="H699" s="35"/>
      <c r="J699" s="61"/>
    </row>
    <row r="700" spans="2:10" ht="12.75" x14ac:dyDescent="0.2">
      <c r="B700" s="32"/>
      <c r="D700" s="59"/>
      <c r="E700" s="59"/>
      <c r="G700" s="39"/>
      <c r="H700" s="35"/>
      <c r="J700" s="61"/>
    </row>
    <row r="701" spans="2:10" ht="12.75" x14ac:dyDescent="0.2">
      <c r="B701" s="32"/>
      <c r="D701" s="59"/>
      <c r="E701" s="59"/>
      <c r="G701" s="39"/>
      <c r="H701" s="35"/>
      <c r="J701" s="61"/>
    </row>
    <row r="702" spans="2:10" ht="12.75" x14ac:dyDescent="0.2">
      <c r="B702" s="32"/>
      <c r="D702" s="59"/>
      <c r="E702" s="59"/>
      <c r="G702" s="39"/>
      <c r="H702" s="35"/>
      <c r="J702" s="61"/>
    </row>
    <row r="703" spans="2:10" ht="12.75" x14ac:dyDescent="0.2">
      <c r="B703" s="32"/>
      <c r="D703" s="59"/>
      <c r="E703" s="59"/>
      <c r="G703" s="39"/>
      <c r="H703" s="35"/>
      <c r="J703" s="61"/>
    </row>
    <row r="704" spans="2:10" ht="12.75" x14ac:dyDescent="0.2">
      <c r="B704" s="32"/>
      <c r="D704" s="59"/>
      <c r="E704" s="59"/>
      <c r="G704" s="39"/>
      <c r="H704" s="35"/>
      <c r="J704" s="61"/>
    </row>
    <row r="705" spans="2:10" ht="12.75" x14ac:dyDescent="0.2">
      <c r="B705" s="32"/>
      <c r="D705" s="59"/>
      <c r="E705" s="59"/>
      <c r="G705" s="39"/>
      <c r="H705" s="35"/>
      <c r="J705" s="61"/>
    </row>
    <row r="706" spans="2:10" ht="12.75" x14ac:dyDescent="0.2">
      <c r="B706" s="32"/>
      <c r="D706" s="59"/>
      <c r="E706" s="59"/>
      <c r="G706" s="39"/>
      <c r="H706" s="35"/>
      <c r="J706" s="61"/>
    </row>
    <row r="707" spans="2:10" ht="12.75" x14ac:dyDescent="0.2">
      <c r="B707" s="32"/>
      <c r="D707" s="59"/>
      <c r="E707" s="59"/>
      <c r="G707" s="39"/>
      <c r="H707" s="35"/>
      <c r="J707" s="61"/>
    </row>
    <row r="708" spans="2:10" ht="12.75" x14ac:dyDescent="0.2">
      <c r="B708" s="32"/>
      <c r="D708" s="59"/>
      <c r="E708" s="59"/>
      <c r="G708" s="39"/>
      <c r="H708" s="35"/>
      <c r="J708" s="61"/>
    </row>
    <row r="709" spans="2:10" ht="12.75" x14ac:dyDescent="0.2">
      <c r="B709" s="32"/>
      <c r="D709" s="59"/>
      <c r="E709" s="59"/>
      <c r="G709" s="39"/>
      <c r="H709" s="35"/>
      <c r="J709" s="61"/>
    </row>
    <row r="710" spans="2:10" ht="12.75" x14ac:dyDescent="0.2">
      <c r="B710" s="32"/>
      <c r="D710" s="59"/>
      <c r="E710" s="59"/>
      <c r="G710" s="39"/>
      <c r="H710" s="35"/>
      <c r="J710" s="61"/>
    </row>
    <row r="711" spans="2:10" ht="12.75" x14ac:dyDescent="0.2">
      <c r="B711" s="32"/>
      <c r="D711" s="59"/>
      <c r="E711" s="59"/>
      <c r="G711" s="39"/>
      <c r="H711" s="35"/>
      <c r="J711" s="61"/>
    </row>
    <row r="712" spans="2:10" ht="12.75" x14ac:dyDescent="0.2">
      <c r="B712" s="32"/>
      <c r="D712" s="59"/>
      <c r="E712" s="59"/>
      <c r="G712" s="39"/>
      <c r="H712" s="35"/>
      <c r="J712" s="61"/>
    </row>
    <row r="713" spans="2:10" ht="12.75" x14ac:dyDescent="0.2">
      <c r="B713" s="32"/>
      <c r="D713" s="59"/>
      <c r="E713" s="59"/>
      <c r="G713" s="39"/>
      <c r="H713" s="35"/>
      <c r="J713" s="61"/>
    </row>
    <row r="714" spans="2:10" ht="12.75" x14ac:dyDescent="0.2">
      <c r="B714" s="32"/>
      <c r="D714" s="59"/>
      <c r="E714" s="59"/>
      <c r="G714" s="39"/>
      <c r="H714" s="35"/>
      <c r="J714" s="61"/>
    </row>
    <row r="715" spans="2:10" ht="12.75" x14ac:dyDescent="0.2">
      <c r="B715" s="32"/>
      <c r="D715" s="59"/>
      <c r="E715" s="59"/>
      <c r="G715" s="39"/>
      <c r="H715" s="35"/>
      <c r="J715" s="61"/>
    </row>
    <row r="716" spans="2:10" ht="12.75" x14ac:dyDescent="0.2">
      <c r="B716" s="32"/>
      <c r="D716" s="59"/>
      <c r="E716" s="59"/>
      <c r="G716" s="39"/>
      <c r="H716" s="35"/>
      <c r="J716" s="61"/>
    </row>
    <row r="717" spans="2:10" ht="12.75" x14ac:dyDescent="0.2">
      <c r="B717" s="32"/>
      <c r="D717" s="59"/>
      <c r="E717" s="59"/>
      <c r="G717" s="39"/>
      <c r="H717" s="35"/>
      <c r="J717" s="61"/>
    </row>
    <row r="718" spans="2:10" ht="12.75" x14ac:dyDescent="0.2">
      <c r="B718" s="32"/>
      <c r="D718" s="59"/>
      <c r="E718" s="59"/>
      <c r="G718" s="39"/>
      <c r="H718" s="35"/>
      <c r="J718" s="61"/>
    </row>
    <row r="719" spans="2:10" ht="12.75" x14ac:dyDescent="0.2">
      <c r="B719" s="32"/>
      <c r="D719" s="59"/>
      <c r="E719" s="59"/>
      <c r="G719" s="39"/>
      <c r="H719" s="35"/>
      <c r="J719" s="61"/>
    </row>
    <row r="720" spans="2:10" ht="12.75" x14ac:dyDescent="0.2">
      <c r="B720" s="32"/>
      <c r="D720" s="59"/>
      <c r="E720" s="59"/>
      <c r="G720" s="39"/>
      <c r="H720" s="35"/>
      <c r="J720" s="61"/>
    </row>
    <row r="721" spans="2:10" ht="12.75" x14ac:dyDescent="0.2">
      <c r="B721" s="32"/>
      <c r="D721" s="59"/>
      <c r="E721" s="59"/>
      <c r="G721" s="39"/>
      <c r="H721" s="35"/>
      <c r="J721" s="61"/>
    </row>
    <row r="722" spans="2:10" ht="12.75" x14ac:dyDescent="0.2">
      <c r="B722" s="32"/>
      <c r="D722" s="59"/>
      <c r="E722" s="59"/>
      <c r="G722" s="39"/>
      <c r="H722" s="35"/>
      <c r="J722" s="61"/>
    </row>
    <row r="723" spans="2:10" ht="12.75" x14ac:dyDescent="0.2">
      <c r="B723" s="32"/>
      <c r="D723" s="59"/>
      <c r="E723" s="59"/>
      <c r="G723" s="39"/>
      <c r="H723" s="35"/>
      <c r="J723" s="61"/>
    </row>
    <row r="724" spans="2:10" ht="12.75" x14ac:dyDescent="0.2">
      <c r="B724" s="32"/>
      <c r="D724" s="59"/>
      <c r="E724" s="59"/>
      <c r="G724" s="39"/>
      <c r="H724" s="35"/>
      <c r="J724" s="61"/>
    </row>
    <row r="725" spans="2:10" ht="12.75" x14ac:dyDescent="0.2">
      <c r="B725" s="32"/>
      <c r="D725" s="59"/>
      <c r="E725" s="59"/>
      <c r="G725" s="39"/>
      <c r="H725" s="35"/>
      <c r="J725" s="61"/>
    </row>
    <row r="726" spans="2:10" ht="12.75" x14ac:dyDescent="0.2">
      <c r="B726" s="32"/>
      <c r="D726" s="59"/>
      <c r="E726" s="59"/>
      <c r="G726" s="39"/>
      <c r="H726" s="35"/>
      <c r="J726" s="61"/>
    </row>
    <row r="727" spans="2:10" ht="12.75" x14ac:dyDescent="0.2">
      <c r="B727" s="32"/>
      <c r="D727" s="59"/>
      <c r="E727" s="59"/>
      <c r="G727" s="39"/>
      <c r="H727" s="35"/>
      <c r="J727" s="61"/>
    </row>
    <row r="728" spans="2:10" ht="12.75" x14ac:dyDescent="0.2">
      <c r="B728" s="32"/>
      <c r="D728" s="59"/>
      <c r="E728" s="59"/>
      <c r="G728" s="39"/>
      <c r="H728" s="35"/>
      <c r="J728" s="61"/>
    </row>
    <row r="729" spans="2:10" ht="12.75" x14ac:dyDescent="0.2">
      <c r="B729" s="32"/>
      <c r="D729" s="59"/>
      <c r="E729" s="59"/>
      <c r="G729" s="39"/>
      <c r="H729" s="35"/>
      <c r="J729" s="61"/>
    </row>
    <row r="730" spans="2:10" ht="12.75" x14ac:dyDescent="0.2">
      <c r="B730" s="32"/>
      <c r="D730" s="59"/>
      <c r="E730" s="59"/>
      <c r="G730" s="39"/>
      <c r="H730" s="35"/>
      <c r="J730" s="61"/>
    </row>
    <row r="731" spans="2:10" ht="12.75" x14ac:dyDescent="0.2">
      <c r="B731" s="32"/>
      <c r="D731" s="59"/>
      <c r="E731" s="59"/>
      <c r="G731" s="39"/>
      <c r="H731" s="35"/>
      <c r="J731" s="61"/>
    </row>
    <row r="732" spans="2:10" ht="12.75" x14ac:dyDescent="0.2">
      <c r="B732" s="32"/>
      <c r="D732" s="59"/>
      <c r="E732" s="59"/>
      <c r="G732" s="39"/>
      <c r="H732" s="35"/>
      <c r="J732" s="61"/>
    </row>
    <row r="733" spans="2:10" ht="12.75" x14ac:dyDescent="0.2">
      <c r="B733" s="32"/>
      <c r="D733" s="59"/>
      <c r="E733" s="59"/>
      <c r="G733" s="39"/>
      <c r="H733" s="35"/>
      <c r="J733" s="61"/>
    </row>
    <row r="734" spans="2:10" ht="12.75" x14ac:dyDescent="0.2">
      <c r="B734" s="32"/>
      <c r="D734" s="59"/>
      <c r="E734" s="59"/>
      <c r="G734" s="39"/>
      <c r="H734" s="35"/>
      <c r="J734" s="61"/>
    </row>
    <row r="735" spans="2:10" ht="12.75" x14ac:dyDescent="0.2">
      <c r="B735" s="32"/>
      <c r="D735" s="59"/>
      <c r="E735" s="59"/>
      <c r="G735" s="39"/>
      <c r="H735" s="35"/>
      <c r="J735" s="61"/>
    </row>
    <row r="736" spans="2:10" ht="12.75" x14ac:dyDescent="0.2">
      <c r="B736" s="32"/>
      <c r="D736" s="59"/>
      <c r="E736" s="59"/>
      <c r="G736" s="39"/>
      <c r="H736" s="35"/>
      <c r="J736" s="61"/>
    </row>
    <row r="737" spans="2:10" ht="12.75" x14ac:dyDescent="0.2">
      <c r="B737" s="32"/>
      <c r="D737" s="59"/>
      <c r="E737" s="59"/>
      <c r="G737" s="39"/>
      <c r="H737" s="35"/>
      <c r="J737" s="61"/>
    </row>
    <row r="738" spans="2:10" ht="12.75" x14ac:dyDescent="0.2">
      <c r="B738" s="32"/>
      <c r="D738" s="59"/>
      <c r="E738" s="59"/>
      <c r="G738" s="39"/>
      <c r="H738" s="35"/>
      <c r="J738" s="61"/>
    </row>
    <row r="739" spans="2:10" ht="12.75" x14ac:dyDescent="0.2">
      <c r="B739" s="32"/>
      <c r="D739" s="59"/>
      <c r="E739" s="59"/>
      <c r="G739" s="39"/>
      <c r="H739" s="35"/>
      <c r="J739" s="61"/>
    </row>
    <row r="740" spans="2:10" ht="12.75" x14ac:dyDescent="0.2">
      <c r="B740" s="32"/>
      <c r="D740" s="59"/>
      <c r="E740" s="59"/>
      <c r="G740" s="39"/>
      <c r="H740" s="35"/>
      <c r="J740" s="61"/>
    </row>
    <row r="741" spans="2:10" ht="12.75" x14ac:dyDescent="0.2">
      <c r="B741" s="32"/>
      <c r="D741" s="59"/>
      <c r="E741" s="59"/>
      <c r="G741" s="39"/>
      <c r="H741" s="35"/>
      <c r="J741" s="61"/>
    </row>
    <row r="742" spans="2:10" ht="12.75" x14ac:dyDescent="0.2">
      <c r="B742" s="32"/>
      <c r="D742" s="59"/>
      <c r="E742" s="59"/>
      <c r="G742" s="39"/>
      <c r="H742" s="35"/>
      <c r="J742" s="61"/>
    </row>
    <row r="743" spans="2:10" ht="12.75" x14ac:dyDescent="0.2">
      <c r="B743" s="32"/>
      <c r="D743" s="59"/>
      <c r="E743" s="59"/>
      <c r="G743" s="39"/>
      <c r="H743" s="35"/>
      <c r="J743" s="61"/>
    </row>
    <row r="744" spans="2:10" ht="12.75" x14ac:dyDescent="0.2">
      <c r="B744" s="32"/>
      <c r="D744" s="59"/>
      <c r="E744" s="59"/>
      <c r="G744" s="39"/>
      <c r="H744" s="35"/>
      <c r="J744" s="61"/>
    </row>
    <row r="745" spans="2:10" ht="12.75" x14ac:dyDescent="0.2">
      <c r="B745" s="32"/>
      <c r="D745" s="59"/>
      <c r="E745" s="59"/>
      <c r="G745" s="39"/>
      <c r="H745" s="35"/>
      <c r="J745" s="61"/>
    </row>
    <row r="746" spans="2:10" ht="12.75" x14ac:dyDescent="0.2">
      <c r="B746" s="32"/>
      <c r="D746" s="59"/>
      <c r="E746" s="59"/>
      <c r="G746" s="39"/>
      <c r="H746" s="35"/>
      <c r="J746" s="61"/>
    </row>
    <row r="747" spans="2:10" ht="12.75" x14ac:dyDescent="0.2">
      <c r="B747" s="32"/>
      <c r="D747" s="59"/>
      <c r="E747" s="59"/>
      <c r="G747" s="39"/>
      <c r="H747" s="35"/>
      <c r="J747" s="61"/>
    </row>
    <row r="748" spans="2:10" ht="12.75" x14ac:dyDescent="0.2">
      <c r="B748" s="32"/>
      <c r="D748" s="59"/>
      <c r="E748" s="59"/>
      <c r="G748" s="39"/>
      <c r="H748" s="35"/>
      <c r="J748" s="61"/>
    </row>
    <row r="749" spans="2:10" ht="12.75" x14ac:dyDescent="0.2">
      <c r="B749" s="32"/>
      <c r="D749" s="59"/>
      <c r="E749" s="59"/>
      <c r="G749" s="39"/>
      <c r="H749" s="35"/>
      <c r="J749" s="61"/>
    </row>
    <row r="750" spans="2:10" ht="12.75" x14ac:dyDescent="0.2">
      <c r="B750" s="32"/>
      <c r="D750" s="59"/>
      <c r="E750" s="59"/>
      <c r="G750" s="39"/>
      <c r="H750" s="35"/>
      <c r="J750" s="61"/>
    </row>
    <row r="751" spans="2:10" ht="12.75" x14ac:dyDescent="0.2">
      <c r="B751" s="32"/>
      <c r="D751" s="59"/>
      <c r="E751" s="59"/>
      <c r="G751" s="39"/>
      <c r="H751" s="35"/>
      <c r="J751" s="61"/>
    </row>
    <row r="752" spans="2:10" ht="12.75" x14ac:dyDescent="0.2">
      <c r="B752" s="32"/>
      <c r="D752" s="59"/>
      <c r="E752" s="59"/>
      <c r="G752" s="39"/>
      <c r="H752" s="35"/>
      <c r="J752" s="61"/>
    </row>
    <row r="753" spans="2:10" ht="12.75" x14ac:dyDescent="0.2">
      <c r="B753" s="32"/>
      <c r="D753" s="59"/>
      <c r="E753" s="59"/>
      <c r="G753" s="39"/>
      <c r="H753" s="35"/>
      <c r="J753" s="61"/>
    </row>
    <row r="754" spans="2:10" ht="12.75" x14ac:dyDescent="0.2">
      <c r="B754" s="32"/>
      <c r="D754" s="59"/>
      <c r="E754" s="59"/>
      <c r="G754" s="39"/>
      <c r="H754" s="35"/>
      <c r="J754" s="61"/>
    </row>
    <row r="755" spans="2:10" ht="12.75" x14ac:dyDescent="0.2">
      <c r="B755" s="32"/>
      <c r="D755" s="59"/>
      <c r="E755" s="59"/>
      <c r="G755" s="39"/>
      <c r="H755" s="35"/>
      <c r="J755" s="61"/>
    </row>
    <row r="756" spans="2:10" ht="12.75" x14ac:dyDescent="0.2">
      <c r="B756" s="32"/>
      <c r="D756" s="59"/>
      <c r="E756" s="59"/>
      <c r="G756" s="39"/>
      <c r="H756" s="35"/>
      <c r="J756" s="61"/>
    </row>
    <row r="757" spans="2:10" ht="12.75" x14ac:dyDescent="0.2">
      <c r="B757" s="32"/>
      <c r="D757" s="59"/>
      <c r="E757" s="59"/>
      <c r="G757" s="39"/>
      <c r="H757" s="35"/>
      <c r="J757" s="61"/>
    </row>
    <row r="758" spans="2:10" ht="12.75" x14ac:dyDescent="0.2">
      <c r="B758" s="32"/>
      <c r="D758" s="59"/>
      <c r="E758" s="59"/>
      <c r="G758" s="39"/>
      <c r="H758" s="35"/>
      <c r="J758" s="61"/>
    </row>
    <row r="759" spans="2:10" ht="12.75" x14ac:dyDescent="0.2">
      <c r="B759" s="32"/>
      <c r="D759" s="59"/>
      <c r="E759" s="59"/>
      <c r="G759" s="39"/>
      <c r="H759" s="35"/>
      <c r="J759" s="61"/>
    </row>
    <row r="760" spans="2:10" ht="12.75" x14ac:dyDescent="0.2">
      <c r="B760" s="32"/>
      <c r="D760" s="59"/>
      <c r="E760" s="59"/>
      <c r="G760" s="39"/>
      <c r="H760" s="35"/>
      <c r="J760" s="61"/>
    </row>
    <row r="761" spans="2:10" ht="12.75" x14ac:dyDescent="0.2">
      <c r="B761" s="32"/>
      <c r="D761" s="59"/>
      <c r="E761" s="59"/>
      <c r="G761" s="39"/>
      <c r="H761" s="35"/>
      <c r="J761" s="61"/>
    </row>
    <row r="762" spans="2:10" ht="12.75" x14ac:dyDescent="0.2">
      <c r="B762" s="32"/>
      <c r="D762" s="59"/>
      <c r="E762" s="59"/>
      <c r="G762" s="39"/>
      <c r="H762" s="35"/>
      <c r="J762" s="61"/>
    </row>
    <row r="763" spans="2:10" ht="12.75" x14ac:dyDescent="0.2">
      <c r="B763" s="32"/>
      <c r="D763" s="59"/>
      <c r="E763" s="59"/>
      <c r="G763" s="39"/>
      <c r="H763" s="35"/>
      <c r="J763" s="61"/>
    </row>
    <row r="764" spans="2:10" ht="12.75" x14ac:dyDescent="0.2">
      <c r="B764" s="32"/>
      <c r="D764" s="59"/>
      <c r="E764" s="59"/>
      <c r="G764" s="39"/>
      <c r="H764" s="35"/>
      <c r="J764" s="61"/>
    </row>
    <row r="765" spans="2:10" ht="12.75" x14ac:dyDescent="0.2">
      <c r="B765" s="32"/>
      <c r="D765" s="59"/>
      <c r="E765" s="59"/>
      <c r="G765" s="39"/>
      <c r="H765" s="35"/>
      <c r="J765" s="61"/>
    </row>
    <row r="766" spans="2:10" ht="12.75" x14ac:dyDescent="0.2">
      <c r="B766" s="32"/>
      <c r="D766" s="59"/>
      <c r="E766" s="59"/>
      <c r="G766" s="39"/>
      <c r="H766" s="35"/>
      <c r="J766" s="61"/>
    </row>
    <row r="767" spans="2:10" ht="12.75" x14ac:dyDescent="0.2">
      <c r="B767" s="32"/>
      <c r="D767" s="59"/>
      <c r="E767" s="59"/>
      <c r="G767" s="39"/>
      <c r="H767" s="35"/>
      <c r="J767" s="61"/>
    </row>
    <row r="768" spans="2:10" ht="12.75" x14ac:dyDescent="0.2">
      <c r="B768" s="32"/>
      <c r="D768" s="59"/>
      <c r="E768" s="59"/>
      <c r="G768" s="39"/>
      <c r="H768" s="35"/>
      <c r="J768" s="61"/>
    </row>
    <row r="769" spans="2:10" ht="12.75" x14ac:dyDescent="0.2">
      <c r="B769" s="32"/>
      <c r="D769" s="59"/>
      <c r="E769" s="59"/>
      <c r="G769" s="39"/>
      <c r="H769" s="35"/>
      <c r="J769" s="61"/>
    </row>
    <row r="770" spans="2:10" ht="12.75" x14ac:dyDescent="0.2">
      <c r="B770" s="32"/>
      <c r="D770" s="59"/>
      <c r="E770" s="59"/>
      <c r="G770" s="39"/>
      <c r="H770" s="35"/>
      <c r="J770" s="61"/>
    </row>
    <row r="771" spans="2:10" ht="12.75" x14ac:dyDescent="0.2">
      <c r="B771" s="32"/>
      <c r="D771" s="59"/>
      <c r="E771" s="59"/>
      <c r="G771" s="39"/>
      <c r="H771" s="35"/>
      <c r="J771" s="61"/>
    </row>
    <row r="772" spans="2:10" ht="12.75" x14ac:dyDescent="0.2">
      <c r="B772" s="32"/>
      <c r="D772" s="59"/>
      <c r="E772" s="59"/>
      <c r="G772" s="39"/>
      <c r="H772" s="35"/>
      <c r="J772" s="61"/>
    </row>
    <row r="773" spans="2:10" ht="12.75" x14ac:dyDescent="0.2">
      <c r="B773" s="32"/>
      <c r="D773" s="59"/>
      <c r="E773" s="59"/>
      <c r="G773" s="39"/>
      <c r="H773" s="35"/>
      <c r="J773" s="61"/>
    </row>
    <row r="774" spans="2:10" ht="12.75" x14ac:dyDescent="0.2">
      <c r="B774" s="32"/>
      <c r="D774" s="59"/>
      <c r="E774" s="59"/>
      <c r="G774" s="39"/>
      <c r="H774" s="35"/>
      <c r="J774" s="61"/>
    </row>
    <row r="775" spans="2:10" ht="12.75" x14ac:dyDescent="0.2">
      <c r="B775" s="32"/>
      <c r="D775" s="59"/>
      <c r="E775" s="59"/>
      <c r="G775" s="39"/>
      <c r="H775" s="35"/>
      <c r="J775" s="61"/>
    </row>
    <row r="776" spans="2:10" ht="12.75" x14ac:dyDescent="0.2">
      <c r="B776" s="32"/>
      <c r="D776" s="59"/>
      <c r="E776" s="59"/>
      <c r="G776" s="39"/>
      <c r="H776" s="35"/>
      <c r="J776" s="61"/>
    </row>
    <row r="777" spans="2:10" ht="12.75" x14ac:dyDescent="0.2">
      <c r="B777" s="32"/>
      <c r="D777" s="59"/>
      <c r="E777" s="59"/>
      <c r="G777" s="39"/>
      <c r="H777" s="35"/>
      <c r="J777" s="61"/>
    </row>
    <row r="778" spans="2:10" ht="12.75" x14ac:dyDescent="0.2">
      <c r="B778" s="32"/>
      <c r="D778" s="59"/>
      <c r="E778" s="59"/>
      <c r="G778" s="39"/>
      <c r="H778" s="35"/>
      <c r="J778" s="61"/>
    </row>
    <row r="779" spans="2:10" ht="12.75" x14ac:dyDescent="0.2">
      <c r="B779" s="32"/>
      <c r="D779" s="59"/>
      <c r="E779" s="59"/>
      <c r="G779" s="39"/>
      <c r="H779" s="35"/>
      <c r="J779" s="61"/>
    </row>
    <row r="780" spans="2:10" ht="12.75" x14ac:dyDescent="0.2">
      <c r="B780" s="32"/>
      <c r="D780" s="59"/>
      <c r="E780" s="59"/>
      <c r="G780" s="39"/>
      <c r="H780" s="35"/>
      <c r="J780" s="61"/>
    </row>
    <row r="781" spans="2:10" ht="12.75" x14ac:dyDescent="0.2">
      <c r="B781" s="32"/>
      <c r="D781" s="59"/>
      <c r="E781" s="59"/>
      <c r="G781" s="39"/>
      <c r="H781" s="35"/>
      <c r="J781" s="61"/>
    </row>
    <row r="782" spans="2:10" ht="12.75" x14ac:dyDescent="0.2">
      <c r="B782" s="32"/>
      <c r="D782" s="59"/>
      <c r="E782" s="59"/>
      <c r="G782" s="39"/>
      <c r="H782" s="35"/>
      <c r="J782" s="61"/>
    </row>
    <row r="783" spans="2:10" ht="12.75" x14ac:dyDescent="0.2">
      <c r="B783" s="32"/>
      <c r="D783" s="59"/>
      <c r="E783" s="59"/>
      <c r="G783" s="39"/>
      <c r="H783" s="35"/>
      <c r="J783" s="61"/>
    </row>
    <row r="784" spans="2:10" ht="12.75" x14ac:dyDescent="0.2">
      <c r="B784" s="32"/>
      <c r="D784" s="59"/>
      <c r="E784" s="59"/>
      <c r="G784" s="39"/>
      <c r="H784" s="35"/>
      <c r="J784" s="61"/>
    </row>
    <row r="785" spans="2:10" ht="12.75" x14ac:dyDescent="0.2">
      <c r="B785" s="32"/>
      <c r="D785" s="59"/>
      <c r="E785" s="59"/>
      <c r="G785" s="39"/>
      <c r="H785" s="35"/>
      <c r="J785" s="61"/>
    </row>
    <row r="786" spans="2:10" ht="12.75" x14ac:dyDescent="0.2">
      <c r="B786" s="32"/>
      <c r="D786" s="59"/>
      <c r="E786" s="59"/>
      <c r="G786" s="39"/>
      <c r="H786" s="35"/>
      <c r="J786" s="61"/>
    </row>
    <row r="787" spans="2:10" ht="12.75" x14ac:dyDescent="0.2">
      <c r="B787" s="32"/>
      <c r="D787" s="59"/>
      <c r="E787" s="59"/>
      <c r="G787" s="39"/>
      <c r="H787" s="35"/>
      <c r="J787" s="61"/>
    </row>
    <row r="788" spans="2:10" ht="12.75" x14ac:dyDescent="0.2">
      <c r="B788" s="32"/>
      <c r="D788" s="59"/>
      <c r="E788" s="59"/>
      <c r="G788" s="39"/>
      <c r="H788" s="35"/>
      <c r="J788" s="61"/>
    </row>
    <row r="789" spans="2:10" ht="12.75" x14ac:dyDescent="0.2">
      <c r="B789" s="32"/>
      <c r="D789" s="59"/>
      <c r="E789" s="59"/>
      <c r="G789" s="39"/>
      <c r="H789" s="35"/>
      <c r="J789" s="61"/>
    </row>
    <row r="790" spans="2:10" ht="12.75" x14ac:dyDescent="0.2">
      <c r="B790" s="32"/>
      <c r="D790" s="59"/>
      <c r="E790" s="59"/>
      <c r="G790" s="39"/>
      <c r="H790" s="35"/>
      <c r="J790" s="61"/>
    </row>
    <row r="791" spans="2:10" ht="12.75" x14ac:dyDescent="0.2">
      <c r="B791" s="32"/>
      <c r="D791" s="59"/>
      <c r="E791" s="59"/>
      <c r="G791" s="39"/>
      <c r="H791" s="35"/>
      <c r="J791" s="61"/>
    </row>
    <row r="792" spans="2:10" ht="12.75" x14ac:dyDescent="0.2">
      <c r="B792" s="32"/>
      <c r="D792" s="59"/>
      <c r="E792" s="59"/>
      <c r="G792" s="39"/>
      <c r="H792" s="35"/>
      <c r="J792" s="61"/>
    </row>
    <row r="793" spans="2:10" ht="12.75" x14ac:dyDescent="0.2">
      <c r="B793" s="32"/>
      <c r="D793" s="59"/>
      <c r="E793" s="59"/>
      <c r="G793" s="39"/>
      <c r="H793" s="35"/>
      <c r="J793" s="61"/>
    </row>
    <row r="794" spans="2:10" ht="12.75" x14ac:dyDescent="0.2">
      <c r="B794" s="32"/>
      <c r="D794" s="59"/>
      <c r="E794" s="59"/>
      <c r="G794" s="39"/>
      <c r="H794" s="35"/>
      <c r="J794" s="61"/>
    </row>
    <row r="795" spans="2:10" ht="12.75" x14ac:dyDescent="0.2">
      <c r="B795" s="32"/>
      <c r="D795" s="59"/>
      <c r="E795" s="59"/>
      <c r="G795" s="39"/>
      <c r="H795" s="35"/>
      <c r="J795" s="61"/>
    </row>
    <row r="796" spans="2:10" ht="12.75" x14ac:dyDescent="0.2">
      <c r="B796" s="32"/>
      <c r="D796" s="59"/>
      <c r="E796" s="59"/>
      <c r="G796" s="39"/>
      <c r="H796" s="35"/>
      <c r="J796" s="61"/>
    </row>
    <row r="797" spans="2:10" ht="12.75" x14ac:dyDescent="0.2">
      <c r="B797" s="32"/>
      <c r="D797" s="59"/>
      <c r="E797" s="59"/>
      <c r="G797" s="39"/>
      <c r="H797" s="35"/>
      <c r="J797" s="61"/>
    </row>
    <row r="798" spans="2:10" ht="12.75" x14ac:dyDescent="0.2">
      <c r="B798" s="32"/>
      <c r="D798" s="59"/>
      <c r="E798" s="59"/>
      <c r="G798" s="39"/>
      <c r="H798" s="35"/>
      <c r="J798" s="61"/>
    </row>
    <row r="799" spans="2:10" ht="12.75" x14ac:dyDescent="0.2">
      <c r="B799" s="32"/>
      <c r="D799" s="59"/>
      <c r="E799" s="59"/>
      <c r="G799" s="39"/>
      <c r="H799" s="35"/>
      <c r="J799" s="61"/>
    </row>
    <row r="800" spans="2:10" ht="12.75" x14ac:dyDescent="0.2">
      <c r="B800" s="32"/>
      <c r="D800" s="59"/>
      <c r="E800" s="59"/>
      <c r="G800" s="39"/>
      <c r="H800" s="35"/>
      <c r="J800" s="61"/>
    </row>
    <row r="801" spans="2:10" ht="12.75" x14ac:dyDescent="0.2">
      <c r="B801" s="32"/>
      <c r="D801" s="59"/>
      <c r="E801" s="59"/>
      <c r="G801" s="39"/>
      <c r="H801" s="35"/>
      <c r="J801" s="61"/>
    </row>
    <row r="802" spans="2:10" ht="12.75" x14ac:dyDescent="0.2">
      <c r="B802" s="32"/>
      <c r="D802" s="59"/>
      <c r="E802" s="59"/>
      <c r="G802" s="39"/>
      <c r="H802" s="35"/>
      <c r="J802" s="61"/>
    </row>
    <row r="803" spans="2:10" ht="12.75" x14ac:dyDescent="0.2">
      <c r="B803" s="32"/>
      <c r="D803" s="59"/>
      <c r="E803" s="59"/>
      <c r="G803" s="39"/>
      <c r="H803" s="35"/>
      <c r="J803" s="61"/>
    </row>
    <row r="804" spans="2:10" ht="12.75" x14ac:dyDescent="0.2">
      <c r="B804" s="32"/>
      <c r="D804" s="59"/>
      <c r="E804" s="59"/>
      <c r="G804" s="39"/>
      <c r="H804" s="35"/>
      <c r="J804" s="61"/>
    </row>
    <row r="805" spans="2:10" ht="12.75" x14ac:dyDescent="0.2">
      <c r="B805" s="32"/>
      <c r="D805" s="59"/>
      <c r="E805" s="59"/>
      <c r="G805" s="39"/>
      <c r="H805" s="35"/>
      <c r="J805" s="61"/>
    </row>
    <row r="806" spans="2:10" ht="12.75" x14ac:dyDescent="0.2">
      <c r="B806" s="32"/>
      <c r="D806" s="59"/>
      <c r="E806" s="59"/>
      <c r="G806" s="39"/>
      <c r="H806" s="35"/>
      <c r="J806" s="61"/>
    </row>
    <row r="807" spans="2:10" ht="12.75" x14ac:dyDescent="0.2">
      <c r="B807" s="32"/>
      <c r="D807" s="59"/>
      <c r="E807" s="59"/>
      <c r="G807" s="39"/>
      <c r="H807" s="35"/>
      <c r="J807" s="61"/>
    </row>
    <row r="808" spans="2:10" ht="12.75" x14ac:dyDescent="0.2">
      <c r="B808" s="32"/>
      <c r="D808" s="59"/>
      <c r="E808" s="59"/>
      <c r="G808" s="39"/>
      <c r="H808" s="35"/>
      <c r="J808" s="61"/>
    </row>
    <row r="809" spans="2:10" ht="12.75" x14ac:dyDescent="0.2">
      <c r="B809" s="32"/>
      <c r="D809" s="59"/>
      <c r="E809" s="59"/>
      <c r="G809" s="39"/>
      <c r="H809" s="35"/>
      <c r="J809" s="61"/>
    </row>
    <row r="810" spans="2:10" ht="12.75" x14ac:dyDescent="0.2">
      <c r="B810" s="32"/>
      <c r="D810" s="59"/>
      <c r="E810" s="59"/>
      <c r="G810" s="39"/>
      <c r="H810" s="35"/>
      <c r="J810" s="61"/>
    </row>
    <row r="811" spans="2:10" ht="12.75" x14ac:dyDescent="0.2">
      <c r="B811" s="32"/>
      <c r="D811" s="59"/>
      <c r="E811" s="59"/>
      <c r="G811" s="39"/>
      <c r="H811" s="35"/>
      <c r="J811" s="61"/>
    </row>
    <row r="812" spans="2:10" ht="12.75" x14ac:dyDescent="0.2">
      <c r="B812" s="32"/>
      <c r="D812" s="59"/>
      <c r="E812" s="59"/>
      <c r="G812" s="39"/>
      <c r="H812" s="35"/>
      <c r="J812" s="61"/>
    </row>
    <row r="813" spans="2:10" ht="12.75" x14ac:dyDescent="0.2">
      <c r="B813" s="32"/>
      <c r="D813" s="59"/>
      <c r="E813" s="59"/>
      <c r="G813" s="39"/>
      <c r="H813" s="35"/>
      <c r="J813" s="61"/>
    </row>
    <row r="814" spans="2:10" ht="12.75" x14ac:dyDescent="0.2">
      <c r="B814" s="32"/>
      <c r="D814" s="59"/>
      <c r="E814" s="59"/>
      <c r="G814" s="39"/>
      <c r="H814" s="35"/>
      <c r="J814" s="61"/>
    </row>
    <row r="815" spans="2:10" ht="12.75" x14ac:dyDescent="0.2">
      <c r="B815" s="32"/>
      <c r="D815" s="59"/>
      <c r="E815" s="59"/>
      <c r="G815" s="39"/>
      <c r="H815" s="35"/>
      <c r="J815" s="61"/>
    </row>
    <row r="816" spans="2:10" ht="12.75" x14ac:dyDescent="0.2">
      <c r="B816" s="32"/>
      <c r="D816" s="59"/>
      <c r="E816" s="59"/>
      <c r="G816" s="39"/>
      <c r="H816" s="35"/>
      <c r="J816" s="61"/>
    </row>
    <row r="817" spans="2:10" ht="12.75" x14ac:dyDescent="0.2">
      <c r="B817" s="32"/>
      <c r="D817" s="59"/>
      <c r="E817" s="59"/>
      <c r="G817" s="39"/>
      <c r="H817" s="35"/>
      <c r="J817" s="61"/>
    </row>
    <row r="818" spans="2:10" ht="12.75" x14ac:dyDescent="0.2">
      <c r="B818" s="32"/>
      <c r="D818" s="59"/>
      <c r="E818" s="59"/>
      <c r="G818" s="39"/>
      <c r="H818" s="35"/>
      <c r="J818" s="61"/>
    </row>
    <row r="819" spans="2:10" ht="12.75" x14ac:dyDescent="0.2">
      <c r="B819" s="32"/>
      <c r="D819" s="59"/>
      <c r="E819" s="59"/>
      <c r="G819" s="39"/>
      <c r="H819" s="35"/>
      <c r="J819" s="61"/>
    </row>
    <row r="820" spans="2:10" ht="12.75" x14ac:dyDescent="0.2">
      <c r="B820" s="32"/>
      <c r="D820" s="59"/>
      <c r="E820" s="59"/>
      <c r="G820" s="39"/>
      <c r="H820" s="35"/>
      <c r="J820" s="61"/>
    </row>
    <row r="821" spans="2:10" ht="12.75" x14ac:dyDescent="0.2">
      <c r="B821" s="32"/>
      <c r="D821" s="59"/>
      <c r="E821" s="59"/>
      <c r="G821" s="39"/>
      <c r="H821" s="35"/>
      <c r="J821" s="61"/>
    </row>
    <row r="822" spans="2:10" ht="12.75" x14ac:dyDescent="0.2">
      <c r="B822" s="32"/>
      <c r="D822" s="59"/>
      <c r="E822" s="59"/>
      <c r="G822" s="39"/>
      <c r="H822" s="35"/>
      <c r="J822" s="61"/>
    </row>
    <row r="823" spans="2:10" ht="12.75" x14ac:dyDescent="0.2">
      <c r="B823" s="32"/>
      <c r="D823" s="59"/>
      <c r="E823" s="59"/>
      <c r="G823" s="39"/>
      <c r="H823" s="35"/>
      <c r="J823" s="61"/>
    </row>
    <row r="824" spans="2:10" ht="12.75" x14ac:dyDescent="0.2">
      <c r="B824" s="32"/>
      <c r="D824" s="59"/>
      <c r="E824" s="59"/>
      <c r="G824" s="39"/>
      <c r="H824" s="35"/>
      <c r="J824" s="61"/>
    </row>
    <row r="825" spans="2:10" ht="12.75" x14ac:dyDescent="0.2">
      <c r="B825" s="32"/>
      <c r="D825" s="59"/>
      <c r="E825" s="59"/>
      <c r="G825" s="39"/>
      <c r="H825" s="35"/>
      <c r="J825" s="61"/>
    </row>
    <row r="826" spans="2:10" ht="12.75" x14ac:dyDescent="0.2">
      <c r="B826" s="32"/>
      <c r="D826" s="59"/>
      <c r="E826" s="59"/>
      <c r="G826" s="39"/>
      <c r="H826" s="35"/>
      <c r="J826" s="61"/>
    </row>
    <row r="827" spans="2:10" ht="12.75" x14ac:dyDescent="0.2">
      <c r="B827" s="32"/>
      <c r="D827" s="59"/>
      <c r="E827" s="59"/>
      <c r="G827" s="39"/>
      <c r="H827" s="35"/>
      <c r="J827" s="61"/>
    </row>
    <row r="828" spans="2:10" ht="12.75" x14ac:dyDescent="0.2">
      <c r="B828" s="32"/>
      <c r="D828" s="59"/>
      <c r="E828" s="59"/>
      <c r="G828" s="39"/>
      <c r="H828" s="35"/>
      <c r="J828" s="61"/>
    </row>
    <row r="829" spans="2:10" ht="12.75" x14ac:dyDescent="0.2">
      <c r="B829" s="32"/>
      <c r="D829" s="59"/>
      <c r="E829" s="59"/>
      <c r="G829" s="39"/>
      <c r="H829" s="35"/>
      <c r="J829" s="61"/>
    </row>
    <row r="830" spans="2:10" ht="12.75" x14ac:dyDescent="0.2">
      <c r="B830" s="32"/>
      <c r="D830" s="59"/>
      <c r="E830" s="59"/>
      <c r="G830" s="39"/>
      <c r="H830" s="35"/>
      <c r="J830" s="61"/>
    </row>
    <row r="831" spans="2:10" ht="12.75" x14ac:dyDescent="0.2">
      <c r="B831" s="32"/>
      <c r="D831" s="59"/>
      <c r="E831" s="59"/>
      <c r="G831" s="39"/>
      <c r="H831" s="35"/>
      <c r="J831" s="61"/>
    </row>
    <row r="832" spans="2:10" ht="12.75" x14ac:dyDescent="0.2">
      <c r="B832" s="32"/>
      <c r="D832" s="59"/>
      <c r="E832" s="59"/>
      <c r="G832" s="39"/>
      <c r="H832" s="35"/>
      <c r="J832" s="61"/>
    </row>
    <row r="833" spans="2:10" ht="12.75" x14ac:dyDescent="0.2">
      <c r="B833" s="32"/>
      <c r="D833" s="59"/>
      <c r="E833" s="59"/>
      <c r="G833" s="39"/>
      <c r="H833" s="35"/>
      <c r="J833" s="61"/>
    </row>
    <row r="834" spans="2:10" ht="12.75" x14ac:dyDescent="0.2">
      <c r="B834" s="32"/>
      <c r="D834" s="59"/>
      <c r="E834" s="59"/>
      <c r="G834" s="39"/>
      <c r="H834" s="35"/>
      <c r="J834" s="61"/>
    </row>
    <row r="835" spans="2:10" ht="12.75" x14ac:dyDescent="0.2">
      <c r="B835" s="32"/>
      <c r="D835" s="59"/>
      <c r="E835" s="59"/>
      <c r="G835" s="39"/>
      <c r="H835" s="35"/>
      <c r="J835" s="61"/>
    </row>
    <row r="836" spans="2:10" ht="12.75" x14ac:dyDescent="0.2">
      <c r="B836" s="32"/>
      <c r="D836" s="59"/>
      <c r="E836" s="59"/>
      <c r="G836" s="39"/>
      <c r="H836" s="35"/>
      <c r="J836" s="61"/>
    </row>
    <row r="837" spans="2:10" ht="12.75" x14ac:dyDescent="0.2">
      <c r="B837" s="32"/>
      <c r="D837" s="59"/>
      <c r="E837" s="59"/>
      <c r="G837" s="39"/>
      <c r="H837" s="35"/>
      <c r="J837" s="61"/>
    </row>
    <row r="838" spans="2:10" ht="12.75" x14ac:dyDescent="0.2">
      <c r="B838" s="32"/>
      <c r="D838" s="59"/>
      <c r="E838" s="59"/>
      <c r="G838" s="39"/>
      <c r="H838" s="35"/>
      <c r="J838" s="61"/>
    </row>
    <row r="839" spans="2:10" ht="12.75" x14ac:dyDescent="0.2">
      <c r="B839" s="32"/>
      <c r="D839" s="59"/>
      <c r="E839" s="59"/>
      <c r="G839" s="39"/>
      <c r="H839" s="35"/>
      <c r="J839" s="61"/>
    </row>
    <row r="840" spans="2:10" ht="12.75" x14ac:dyDescent="0.2">
      <c r="B840" s="32"/>
      <c r="D840" s="59"/>
      <c r="E840" s="59"/>
      <c r="G840" s="39"/>
      <c r="H840" s="35"/>
      <c r="J840" s="61"/>
    </row>
    <row r="841" spans="2:10" ht="12.75" x14ac:dyDescent="0.2">
      <c r="B841" s="32"/>
      <c r="D841" s="59"/>
      <c r="E841" s="59"/>
      <c r="G841" s="39"/>
      <c r="H841" s="35"/>
      <c r="J841" s="61"/>
    </row>
    <row r="842" spans="2:10" ht="12.75" x14ac:dyDescent="0.2">
      <c r="B842" s="32"/>
      <c r="D842" s="59"/>
      <c r="E842" s="59"/>
      <c r="G842" s="39"/>
      <c r="H842" s="35"/>
      <c r="J842" s="61"/>
    </row>
    <row r="843" spans="2:10" ht="12.75" x14ac:dyDescent="0.2">
      <c r="B843" s="32"/>
      <c r="D843" s="59"/>
      <c r="E843" s="59"/>
      <c r="G843" s="39"/>
      <c r="H843" s="35"/>
      <c r="J843" s="61"/>
    </row>
    <row r="844" spans="2:10" ht="12.75" x14ac:dyDescent="0.2">
      <c r="B844" s="32"/>
      <c r="D844" s="59"/>
      <c r="E844" s="59"/>
      <c r="G844" s="39"/>
      <c r="H844" s="35"/>
      <c r="J844" s="61"/>
    </row>
    <row r="845" spans="2:10" ht="12.75" x14ac:dyDescent="0.2">
      <c r="B845" s="32"/>
      <c r="D845" s="59"/>
      <c r="E845" s="59"/>
      <c r="G845" s="39"/>
      <c r="H845" s="35"/>
      <c r="J845" s="61"/>
    </row>
    <row r="846" spans="2:10" ht="12.75" x14ac:dyDescent="0.2">
      <c r="B846" s="32"/>
      <c r="D846" s="59"/>
      <c r="E846" s="59"/>
      <c r="G846" s="39"/>
      <c r="H846" s="35"/>
      <c r="J846" s="61"/>
    </row>
    <row r="847" spans="2:10" ht="12.75" x14ac:dyDescent="0.2">
      <c r="B847" s="32"/>
      <c r="D847" s="59"/>
      <c r="E847" s="59"/>
      <c r="G847" s="39"/>
      <c r="H847" s="35"/>
      <c r="J847" s="61"/>
    </row>
    <row r="848" spans="2:10" ht="12.75" x14ac:dyDescent="0.2">
      <c r="B848" s="32"/>
      <c r="D848" s="59"/>
      <c r="E848" s="59"/>
      <c r="G848" s="39"/>
      <c r="H848" s="35"/>
      <c r="J848" s="61"/>
    </row>
    <row r="849" spans="2:10" ht="12.75" x14ac:dyDescent="0.2">
      <c r="B849" s="32"/>
      <c r="D849" s="59"/>
      <c r="E849" s="59"/>
      <c r="G849" s="39"/>
      <c r="H849" s="35"/>
      <c r="J849" s="61"/>
    </row>
    <row r="850" spans="2:10" ht="12.75" x14ac:dyDescent="0.2">
      <c r="B850" s="32"/>
      <c r="D850" s="59"/>
      <c r="E850" s="59"/>
      <c r="G850" s="39"/>
      <c r="H850" s="35"/>
      <c r="J850" s="61"/>
    </row>
    <row r="851" spans="2:10" ht="12.75" x14ac:dyDescent="0.2">
      <c r="B851" s="32"/>
      <c r="D851" s="59"/>
      <c r="E851" s="59"/>
      <c r="G851" s="39"/>
      <c r="H851" s="35"/>
      <c r="J851" s="61"/>
    </row>
    <row r="852" spans="2:10" ht="12.75" x14ac:dyDescent="0.2">
      <c r="B852" s="32"/>
      <c r="D852" s="59"/>
      <c r="E852" s="59"/>
      <c r="G852" s="39"/>
      <c r="H852" s="35"/>
      <c r="J852" s="61"/>
    </row>
    <row r="853" spans="2:10" ht="12.75" x14ac:dyDescent="0.2">
      <c r="B853" s="32"/>
      <c r="D853" s="59"/>
      <c r="E853" s="59"/>
      <c r="G853" s="39"/>
      <c r="H853" s="35"/>
      <c r="J853" s="61"/>
    </row>
    <row r="854" spans="2:10" ht="12.75" x14ac:dyDescent="0.2">
      <c r="B854" s="32"/>
      <c r="D854" s="59"/>
      <c r="E854" s="59"/>
      <c r="G854" s="39"/>
      <c r="H854" s="35"/>
      <c r="J854" s="61"/>
    </row>
    <row r="855" spans="2:10" ht="12.75" x14ac:dyDescent="0.2">
      <c r="B855" s="32"/>
      <c r="D855" s="59"/>
      <c r="E855" s="59"/>
      <c r="G855" s="39"/>
      <c r="H855" s="35"/>
      <c r="J855" s="61"/>
    </row>
    <row r="856" spans="2:10" ht="12.75" x14ac:dyDescent="0.2">
      <c r="B856" s="32"/>
      <c r="D856" s="59"/>
      <c r="E856" s="59"/>
      <c r="G856" s="39"/>
      <c r="H856" s="35"/>
      <c r="J856" s="61"/>
    </row>
    <row r="857" spans="2:10" ht="12.75" x14ac:dyDescent="0.2">
      <c r="B857" s="32"/>
      <c r="D857" s="59"/>
      <c r="E857" s="59"/>
      <c r="G857" s="39"/>
      <c r="H857" s="35"/>
      <c r="J857" s="61"/>
    </row>
    <row r="858" spans="2:10" ht="12.75" x14ac:dyDescent="0.2">
      <c r="B858" s="32"/>
      <c r="D858" s="59"/>
      <c r="E858" s="59"/>
      <c r="G858" s="39"/>
      <c r="H858" s="35"/>
      <c r="J858" s="61"/>
    </row>
    <row r="859" spans="2:10" ht="12.75" x14ac:dyDescent="0.2">
      <c r="B859" s="32"/>
      <c r="D859" s="59"/>
      <c r="E859" s="59"/>
      <c r="G859" s="39"/>
      <c r="H859" s="35"/>
      <c r="J859" s="61"/>
    </row>
    <row r="860" spans="2:10" ht="12.75" x14ac:dyDescent="0.2">
      <c r="B860" s="32"/>
      <c r="D860" s="59"/>
      <c r="E860" s="59"/>
      <c r="G860" s="39"/>
      <c r="H860" s="35"/>
      <c r="J860" s="61"/>
    </row>
    <row r="861" spans="2:10" ht="12.75" x14ac:dyDescent="0.2">
      <c r="B861" s="32"/>
      <c r="D861" s="59"/>
      <c r="E861" s="59"/>
      <c r="G861" s="39"/>
      <c r="H861" s="35"/>
      <c r="J861" s="61"/>
    </row>
    <row r="862" spans="2:10" ht="12.75" x14ac:dyDescent="0.2">
      <c r="B862" s="32"/>
      <c r="D862" s="59"/>
      <c r="E862" s="59"/>
      <c r="G862" s="39"/>
      <c r="H862" s="35"/>
      <c r="J862" s="61"/>
    </row>
    <row r="863" spans="2:10" ht="12.75" x14ac:dyDescent="0.2">
      <c r="B863" s="32"/>
      <c r="D863" s="59"/>
      <c r="E863" s="59"/>
      <c r="G863" s="39"/>
      <c r="H863" s="35"/>
      <c r="J863" s="61"/>
    </row>
    <row r="864" spans="2:10" ht="12.75" x14ac:dyDescent="0.2">
      <c r="B864" s="32"/>
      <c r="D864" s="59"/>
      <c r="E864" s="59"/>
      <c r="G864" s="39"/>
      <c r="H864" s="35"/>
      <c r="J864" s="61"/>
    </row>
    <row r="865" spans="2:10" ht="12.75" x14ac:dyDescent="0.2">
      <c r="B865" s="32"/>
      <c r="D865" s="59"/>
      <c r="E865" s="59"/>
      <c r="G865" s="39"/>
      <c r="H865" s="35"/>
      <c r="J865" s="61"/>
    </row>
    <row r="866" spans="2:10" ht="12.75" x14ac:dyDescent="0.2">
      <c r="B866" s="32"/>
      <c r="D866" s="59"/>
      <c r="E866" s="59"/>
      <c r="G866" s="39"/>
      <c r="H866" s="35"/>
      <c r="J866" s="61"/>
    </row>
    <row r="867" spans="2:10" ht="12.75" x14ac:dyDescent="0.2">
      <c r="B867" s="32"/>
      <c r="D867" s="59"/>
      <c r="E867" s="59"/>
      <c r="G867" s="39"/>
      <c r="H867" s="35"/>
      <c r="J867" s="61"/>
    </row>
    <row r="868" spans="2:10" ht="12.75" x14ac:dyDescent="0.2">
      <c r="B868" s="32"/>
      <c r="D868" s="59"/>
      <c r="E868" s="59"/>
      <c r="G868" s="39"/>
      <c r="H868" s="35"/>
      <c r="J868" s="61"/>
    </row>
    <row r="869" spans="2:10" ht="12.75" x14ac:dyDescent="0.2">
      <c r="B869" s="32"/>
      <c r="D869" s="59"/>
      <c r="E869" s="59"/>
      <c r="G869" s="39"/>
      <c r="H869" s="35"/>
      <c r="J869" s="61"/>
    </row>
    <row r="870" spans="2:10" ht="12.75" x14ac:dyDescent="0.2">
      <c r="B870" s="32"/>
      <c r="D870" s="59"/>
      <c r="E870" s="59"/>
      <c r="G870" s="39"/>
      <c r="H870" s="35"/>
      <c r="J870" s="61"/>
    </row>
    <row r="871" spans="2:10" ht="12.75" x14ac:dyDescent="0.2">
      <c r="B871" s="32"/>
      <c r="D871" s="59"/>
      <c r="E871" s="59"/>
      <c r="G871" s="39"/>
      <c r="H871" s="35"/>
      <c r="J871" s="61"/>
    </row>
    <row r="872" spans="2:10" ht="12.75" x14ac:dyDescent="0.2">
      <c r="B872" s="32"/>
      <c r="D872" s="59"/>
      <c r="E872" s="59"/>
      <c r="G872" s="39"/>
      <c r="H872" s="35"/>
      <c r="J872" s="61"/>
    </row>
    <row r="873" spans="2:10" ht="12.75" x14ac:dyDescent="0.2">
      <c r="B873" s="32"/>
      <c r="D873" s="59"/>
      <c r="E873" s="59"/>
      <c r="G873" s="39"/>
      <c r="H873" s="35"/>
      <c r="J873" s="61"/>
    </row>
    <row r="874" spans="2:10" ht="12.75" x14ac:dyDescent="0.2">
      <c r="B874" s="32"/>
      <c r="D874" s="59"/>
      <c r="E874" s="59"/>
      <c r="G874" s="39"/>
      <c r="H874" s="35"/>
      <c r="J874" s="61"/>
    </row>
    <row r="875" spans="2:10" ht="12.75" x14ac:dyDescent="0.2">
      <c r="B875" s="32"/>
      <c r="D875" s="59"/>
      <c r="E875" s="59"/>
      <c r="G875" s="39"/>
      <c r="H875" s="35"/>
      <c r="J875" s="61"/>
    </row>
    <row r="876" spans="2:10" ht="12.75" x14ac:dyDescent="0.2">
      <c r="B876" s="32"/>
      <c r="D876" s="59"/>
      <c r="E876" s="59"/>
      <c r="G876" s="39"/>
      <c r="H876" s="35"/>
      <c r="J876" s="61"/>
    </row>
    <row r="877" spans="2:10" ht="12.75" x14ac:dyDescent="0.2">
      <c r="B877" s="32"/>
      <c r="D877" s="59"/>
      <c r="E877" s="59"/>
      <c r="G877" s="39"/>
      <c r="H877" s="35"/>
      <c r="J877" s="61"/>
    </row>
    <row r="878" spans="2:10" ht="12.75" x14ac:dyDescent="0.2">
      <c r="B878" s="32"/>
      <c r="D878" s="59"/>
      <c r="E878" s="59"/>
      <c r="G878" s="39"/>
      <c r="H878" s="35"/>
      <c r="J878" s="61"/>
    </row>
    <row r="879" spans="2:10" ht="12.75" x14ac:dyDescent="0.2">
      <c r="B879" s="32"/>
      <c r="D879" s="59"/>
      <c r="E879" s="59"/>
      <c r="G879" s="39"/>
      <c r="H879" s="35"/>
      <c r="J879" s="61"/>
    </row>
    <row r="880" spans="2:10" ht="12.75" x14ac:dyDescent="0.2">
      <c r="B880" s="32"/>
      <c r="D880" s="59"/>
      <c r="E880" s="59"/>
      <c r="G880" s="39"/>
      <c r="H880" s="35"/>
      <c r="J880" s="61"/>
    </row>
    <row r="881" spans="2:10" ht="12.75" x14ac:dyDescent="0.2">
      <c r="B881" s="32"/>
      <c r="D881" s="59"/>
      <c r="E881" s="59"/>
      <c r="G881" s="39"/>
      <c r="H881" s="35"/>
      <c r="J881" s="61"/>
    </row>
    <row r="882" spans="2:10" ht="12.75" x14ac:dyDescent="0.2">
      <c r="B882" s="32"/>
      <c r="D882" s="59"/>
      <c r="E882" s="59"/>
      <c r="G882" s="39"/>
      <c r="H882" s="35"/>
      <c r="J882" s="61"/>
    </row>
    <row r="883" spans="2:10" ht="12.75" x14ac:dyDescent="0.2">
      <c r="B883" s="32"/>
      <c r="D883" s="59"/>
      <c r="E883" s="59"/>
      <c r="G883" s="39"/>
      <c r="H883" s="35"/>
      <c r="J883" s="61"/>
    </row>
    <row r="884" spans="2:10" ht="12.75" x14ac:dyDescent="0.2">
      <c r="B884" s="32"/>
      <c r="D884" s="59"/>
      <c r="E884" s="59"/>
      <c r="G884" s="39"/>
      <c r="H884" s="35"/>
      <c r="J884" s="61"/>
    </row>
    <row r="885" spans="2:10" ht="12.75" x14ac:dyDescent="0.2">
      <c r="B885" s="32"/>
      <c r="D885" s="59"/>
      <c r="E885" s="59"/>
      <c r="G885" s="39"/>
      <c r="H885" s="35"/>
      <c r="J885" s="61"/>
    </row>
    <row r="886" spans="2:10" ht="12.75" x14ac:dyDescent="0.2">
      <c r="B886" s="32"/>
      <c r="D886" s="59"/>
      <c r="E886" s="59"/>
      <c r="G886" s="39"/>
      <c r="H886" s="35"/>
      <c r="J886" s="61"/>
    </row>
    <row r="887" spans="2:10" ht="12.75" x14ac:dyDescent="0.2">
      <c r="B887" s="32"/>
      <c r="D887" s="59"/>
      <c r="E887" s="59"/>
      <c r="G887" s="39"/>
      <c r="H887" s="35"/>
      <c r="J887" s="61"/>
    </row>
    <row r="888" spans="2:10" ht="12.75" x14ac:dyDescent="0.2">
      <c r="B888" s="32"/>
      <c r="D888" s="59"/>
      <c r="E888" s="59"/>
      <c r="G888" s="39"/>
      <c r="H888" s="35"/>
      <c r="J888" s="61"/>
    </row>
    <row r="889" spans="2:10" ht="12.75" x14ac:dyDescent="0.2">
      <c r="B889" s="32"/>
      <c r="D889" s="59"/>
      <c r="E889" s="59"/>
      <c r="G889" s="39"/>
      <c r="H889" s="35"/>
      <c r="J889" s="61"/>
    </row>
    <row r="890" spans="2:10" ht="12.75" x14ac:dyDescent="0.2">
      <c r="B890" s="32"/>
      <c r="D890" s="59"/>
      <c r="E890" s="59"/>
      <c r="G890" s="39"/>
      <c r="H890" s="35"/>
      <c r="J890" s="61"/>
    </row>
    <row r="891" spans="2:10" ht="12.75" x14ac:dyDescent="0.2">
      <c r="B891" s="32"/>
      <c r="D891" s="59"/>
      <c r="E891" s="59"/>
      <c r="G891" s="39"/>
      <c r="H891" s="35"/>
      <c r="J891" s="61"/>
    </row>
    <row r="892" spans="2:10" ht="12.75" x14ac:dyDescent="0.2">
      <c r="B892" s="32"/>
      <c r="D892" s="59"/>
      <c r="E892" s="59"/>
      <c r="G892" s="39"/>
      <c r="H892" s="35"/>
      <c r="J892" s="61"/>
    </row>
    <row r="893" spans="2:10" ht="12.75" x14ac:dyDescent="0.2">
      <c r="B893" s="32"/>
      <c r="D893" s="59"/>
      <c r="E893" s="59"/>
      <c r="G893" s="39"/>
      <c r="H893" s="35"/>
      <c r="J893" s="61"/>
    </row>
    <row r="894" spans="2:10" ht="12.75" x14ac:dyDescent="0.2">
      <c r="B894" s="32"/>
      <c r="D894" s="59"/>
      <c r="E894" s="59"/>
      <c r="G894" s="39"/>
      <c r="H894" s="35"/>
      <c r="J894" s="61"/>
    </row>
    <row r="895" spans="2:10" ht="12.75" x14ac:dyDescent="0.2">
      <c r="B895" s="32"/>
      <c r="D895" s="59"/>
      <c r="E895" s="59"/>
      <c r="G895" s="39"/>
      <c r="H895" s="35"/>
      <c r="J895" s="61"/>
    </row>
    <row r="896" spans="2:10" ht="12.75" x14ac:dyDescent="0.2">
      <c r="B896" s="32"/>
      <c r="D896" s="59"/>
      <c r="E896" s="59"/>
      <c r="G896" s="39"/>
      <c r="H896" s="35"/>
      <c r="J896" s="61"/>
    </row>
    <row r="897" spans="2:10" ht="12.75" x14ac:dyDescent="0.2">
      <c r="B897" s="32"/>
      <c r="D897" s="59"/>
      <c r="E897" s="59"/>
      <c r="G897" s="39"/>
      <c r="H897" s="35"/>
      <c r="J897" s="61"/>
    </row>
    <row r="898" spans="2:10" ht="12.75" x14ac:dyDescent="0.2">
      <c r="B898" s="32"/>
      <c r="D898" s="59"/>
      <c r="E898" s="59"/>
      <c r="G898" s="39"/>
      <c r="H898" s="35"/>
      <c r="J898" s="61"/>
    </row>
    <row r="899" spans="2:10" ht="12.75" x14ac:dyDescent="0.2">
      <c r="B899" s="32"/>
      <c r="D899" s="59"/>
      <c r="E899" s="59"/>
      <c r="G899" s="39"/>
      <c r="H899" s="35"/>
      <c r="J899" s="61"/>
    </row>
    <row r="900" spans="2:10" ht="12.75" x14ac:dyDescent="0.2">
      <c r="B900" s="32"/>
      <c r="D900" s="59"/>
      <c r="E900" s="59"/>
      <c r="G900" s="39"/>
      <c r="H900" s="35"/>
      <c r="J900" s="61"/>
    </row>
    <row r="901" spans="2:10" ht="12.75" x14ac:dyDescent="0.2">
      <c r="B901" s="32"/>
      <c r="D901" s="59"/>
      <c r="E901" s="59"/>
      <c r="G901" s="39"/>
      <c r="H901" s="35"/>
      <c r="J901" s="61"/>
    </row>
    <row r="902" spans="2:10" ht="12.75" x14ac:dyDescent="0.2">
      <c r="B902" s="32"/>
      <c r="D902" s="59"/>
      <c r="E902" s="59"/>
      <c r="G902" s="39"/>
      <c r="H902" s="35"/>
      <c r="J902" s="61"/>
    </row>
    <row r="903" spans="2:10" ht="12.75" x14ac:dyDescent="0.2">
      <c r="B903" s="32"/>
      <c r="D903" s="59"/>
      <c r="E903" s="59"/>
      <c r="G903" s="39"/>
      <c r="H903" s="35"/>
      <c r="J903" s="61"/>
    </row>
    <row r="904" spans="2:10" ht="12.75" x14ac:dyDescent="0.2">
      <c r="B904" s="32"/>
      <c r="D904" s="59"/>
      <c r="E904" s="59"/>
      <c r="G904" s="39"/>
      <c r="H904" s="35"/>
      <c r="J904" s="61"/>
    </row>
    <row r="905" spans="2:10" ht="12.75" x14ac:dyDescent="0.2">
      <c r="B905" s="32"/>
      <c r="D905" s="59"/>
      <c r="E905" s="59"/>
      <c r="G905" s="39"/>
      <c r="H905" s="35"/>
      <c r="J905" s="61"/>
    </row>
    <row r="906" spans="2:10" ht="12.75" x14ac:dyDescent="0.2">
      <c r="B906" s="32"/>
      <c r="D906" s="59"/>
      <c r="E906" s="59"/>
      <c r="G906" s="39"/>
      <c r="H906" s="35"/>
      <c r="J906" s="61"/>
    </row>
    <row r="907" spans="2:10" ht="12.75" x14ac:dyDescent="0.2">
      <c r="B907" s="32"/>
      <c r="D907" s="59"/>
      <c r="E907" s="59"/>
      <c r="G907" s="39"/>
      <c r="H907" s="35"/>
      <c r="J907" s="61"/>
    </row>
    <row r="908" spans="2:10" ht="12.75" x14ac:dyDescent="0.2">
      <c r="B908" s="32"/>
      <c r="D908" s="59"/>
      <c r="E908" s="59"/>
      <c r="G908" s="39"/>
      <c r="H908" s="35"/>
      <c r="J908" s="61"/>
    </row>
    <row r="909" spans="2:10" ht="12.75" x14ac:dyDescent="0.2">
      <c r="B909" s="32"/>
      <c r="D909" s="59"/>
      <c r="E909" s="59"/>
      <c r="G909" s="39"/>
      <c r="H909" s="35"/>
      <c r="J909" s="61"/>
    </row>
    <row r="910" spans="2:10" ht="12.75" x14ac:dyDescent="0.2">
      <c r="B910" s="32"/>
      <c r="D910" s="59"/>
      <c r="E910" s="59"/>
      <c r="G910" s="39"/>
      <c r="H910" s="35"/>
      <c r="J910" s="61"/>
    </row>
    <row r="911" spans="2:10" ht="12.75" x14ac:dyDescent="0.2">
      <c r="B911" s="32"/>
      <c r="D911" s="59"/>
      <c r="E911" s="59"/>
      <c r="G911" s="39"/>
      <c r="H911" s="35"/>
      <c r="J911" s="61"/>
    </row>
    <row r="912" spans="2:10" ht="12.75" x14ac:dyDescent="0.2">
      <c r="B912" s="32"/>
      <c r="D912" s="59"/>
      <c r="E912" s="59"/>
      <c r="G912" s="39"/>
      <c r="H912" s="35"/>
      <c r="J912" s="61"/>
    </row>
    <row r="913" spans="2:10" ht="12.75" x14ac:dyDescent="0.2">
      <c r="B913" s="32"/>
      <c r="D913" s="59"/>
      <c r="E913" s="59"/>
      <c r="G913" s="39"/>
      <c r="H913" s="35"/>
      <c r="J913" s="61"/>
    </row>
    <row r="914" spans="2:10" ht="12.75" x14ac:dyDescent="0.2">
      <c r="B914" s="32"/>
      <c r="D914" s="59"/>
      <c r="E914" s="59"/>
      <c r="G914" s="39"/>
      <c r="H914" s="35"/>
      <c r="J914" s="61"/>
    </row>
    <row r="915" spans="2:10" ht="12.75" x14ac:dyDescent="0.2">
      <c r="B915" s="32"/>
      <c r="D915" s="59"/>
      <c r="E915" s="59"/>
      <c r="G915" s="39"/>
      <c r="H915" s="35"/>
      <c r="J915" s="61"/>
    </row>
    <row r="916" spans="2:10" ht="12.75" x14ac:dyDescent="0.2">
      <c r="B916" s="32"/>
      <c r="D916" s="59"/>
      <c r="E916" s="59"/>
      <c r="G916" s="39"/>
      <c r="H916" s="35"/>
      <c r="J916" s="61"/>
    </row>
    <row r="917" spans="2:10" ht="12.75" x14ac:dyDescent="0.2">
      <c r="B917" s="32"/>
      <c r="D917" s="59"/>
      <c r="E917" s="59"/>
      <c r="G917" s="39"/>
      <c r="H917" s="35"/>
      <c r="J917" s="61"/>
    </row>
    <row r="918" spans="2:10" ht="12.75" x14ac:dyDescent="0.2">
      <c r="B918" s="32"/>
      <c r="D918" s="59"/>
      <c r="E918" s="59"/>
      <c r="G918" s="39"/>
      <c r="H918" s="35"/>
      <c r="J918" s="61"/>
    </row>
    <row r="919" spans="2:10" ht="12.75" x14ac:dyDescent="0.2">
      <c r="B919" s="32"/>
      <c r="D919" s="59"/>
      <c r="E919" s="59"/>
      <c r="G919" s="39"/>
      <c r="H919" s="35"/>
      <c r="J919" s="61"/>
    </row>
    <row r="920" spans="2:10" ht="12.75" x14ac:dyDescent="0.2">
      <c r="B920" s="32"/>
      <c r="D920" s="59"/>
      <c r="E920" s="59"/>
      <c r="G920" s="39"/>
      <c r="H920" s="35"/>
      <c r="J920" s="61"/>
    </row>
    <row r="921" spans="2:10" ht="12.75" x14ac:dyDescent="0.2">
      <c r="B921" s="32"/>
      <c r="D921" s="59"/>
      <c r="E921" s="59"/>
      <c r="G921" s="39"/>
      <c r="H921" s="35"/>
      <c r="J921" s="61"/>
    </row>
    <row r="922" spans="2:10" ht="12.75" x14ac:dyDescent="0.2">
      <c r="B922" s="32"/>
      <c r="D922" s="59"/>
      <c r="E922" s="59"/>
      <c r="G922" s="39"/>
      <c r="H922" s="35"/>
      <c r="J922" s="61"/>
    </row>
    <row r="923" spans="2:10" ht="12.75" x14ac:dyDescent="0.2">
      <c r="B923" s="32"/>
      <c r="D923" s="59"/>
      <c r="E923" s="59"/>
      <c r="G923" s="39"/>
      <c r="H923" s="35"/>
      <c r="J923" s="61"/>
    </row>
    <row r="924" spans="2:10" ht="12.75" x14ac:dyDescent="0.2">
      <c r="B924" s="32"/>
      <c r="D924" s="59"/>
      <c r="E924" s="59"/>
      <c r="G924" s="39"/>
      <c r="H924" s="35"/>
      <c r="J924" s="61"/>
    </row>
    <row r="925" spans="2:10" ht="12.75" x14ac:dyDescent="0.2">
      <c r="B925" s="32"/>
      <c r="D925" s="59"/>
      <c r="E925" s="59"/>
      <c r="G925" s="39"/>
      <c r="H925" s="35"/>
      <c r="J925" s="61"/>
    </row>
    <row r="926" spans="2:10" ht="12.75" x14ac:dyDescent="0.2">
      <c r="B926" s="32"/>
      <c r="D926" s="59"/>
      <c r="E926" s="59"/>
      <c r="G926" s="39"/>
      <c r="H926" s="35"/>
      <c r="J926" s="61"/>
    </row>
    <row r="927" spans="2:10" ht="12.75" x14ac:dyDescent="0.2">
      <c r="B927" s="32"/>
      <c r="D927" s="59"/>
      <c r="E927" s="59"/>
      <c r="G927" s="39"/>
      <c r="H927" s="35"/>
      <c r="J927" s="61"/>
    </row>
    <row r="928" spans="2:10" ht="12.75" x14ac:dyDescent="0.2">
      <c r="B928" s="32"/>
      <c r="D928" s="59"/>
      <c r="E928" s="59"/>
      <c r="G928" s="39"/>
      <c r="H928" s="35"/>
      <c r="J928" s="61"/>
    </row>
    <row r="929" spans="2:10" ht="12.75" x14ac:dyDescent="0.2">
      <c r="B929" s="32"/>
      <c r="D929" s="59"/>
      <c r="E929" s="59"/>
      <c r="G929" s="39"/>
      <c r="H929" s="35"/>
      <c r="J929" s="61"/>
    </row>
    <row r="930" spans="2:10" ht="12.75" x14ac:dyDescent="0.2">
      <c r="B930" s="32"/>
      <c r="D930" s="59"/>
      <c r="E930" s="59"/>
      <c r="G930" s="39"/>
      <c r="H930" s="35"/>
      <c r="J930" s="61"/>
    </row>
    <row r="931" spans="2:10" ht="12.75" x14ac:dyDescent="0.2">
      <c r="B931" s="32"/>
      <c r="D931" s="59"/>
      <c r="E931" s="59"/>
      <c r="G931" s="39"/>
      <c r="H931" s="35"/>
      <c r="J931" s="61"/>
    </row>
    <row r="932" spans="2:10" ht="12.75" x14ac:dyDescent="0.2">
      <c r="B932" s="32"/>
      <c r="D932" s="59"/>
      <c r="E932" s="59"/>
      <c r="G932" s="39"/>
      <c r="H932" s="35"/>
      <c r="J932" s="61"/>
    </row>
    <row r="933" spans="2:10" ht="12.75" x14ac:dyDescent="0.2">
      <c r="B933" s="32"/>
      <c r="D933" s="59"/>
      <c r="E933" s="59"/>
      <c r="G933" s="39"/>
      <c r="H933" s="35"/>
      <c r="J933" s="61"/>
    </row>
    <row r="934" spans="2:10" ht="12.75" x14ac:dyDescent="0.2">
      <c r="B934" s="32"/>
      <c r="D934" s="59"/>
      <c r="E934" s="59"/>
      <c r="G934" s="39"/>
      <c r="H934" s="35"/>
      <c r="J934" s="61"/>
    </row>
    <row r="935" spans="2:10" ht="12.75" x14ac:dyDescent="0.2">
      <c r="B935" s="32"/>
      <c r="D935" s="59"/>
      <c r="E935" s="59"/>
      <c r="G935" s="39"/>
      <c r="H935" s="35"/>
      <c r="J935" s="61"/>
    </row>
    <row r="936" spans="2:10" ht="12.75" x14ac:dyDescent="0.2">
      <c r="B936" s="32"/>
      <c r="D936" s="59"/>
      <c r="E936" s="59"/>
      <c r="G936" s="39"/>
      <c r="H936" s="35"/>
      <c r="J936" s="61"/>
    </row>
    <row r="937" spans="2:10" ht="12.75" x14ac:dyDescent="0.2">
      <c r="B937" s="32"/>
      <c r="D937" s="59"/>
      <c r="E937" s="59"/>
      <c r="G937" s="39"/>
      <c r="H937" s="35"/>
      <c r="J937" s="61"/>
    </row>
    <row r="938" spans="2:10" ht="12.75" x14ac:dyDescent="0.2">
      <c r="B938" s="32"/>
      <c r="D938" s="59"/>
      <c r="E938" s="59"/>
      <c r="G938" s="39"/>
      <c r="H938" s="35"/>
      <c r="J938" s="61"/>
    </row>
    <row r="939" spans="2:10" ht="12.75" x14ac:dyDescent="0.2">
      <c r="B939" s="32"/>
      <c r="D939" s="59"/>
      <c r="E939" s="59"/>
      <c r="G939" s="39"/>
      <c r="H939" s="35"/>
      <c r="J939" s="61"/>
    </row>
    <row r="940" spans="2:10" ht="12.75" x14ac:dyDescent="0.2">
      <c r="B940" s="32"/>
      <c r="D940" s="59"/>
      <c r="E940" s="59"/>
      <c r="G940" s="39"/>
      <c r="H940" s="35"/>
      <c r="J940" s="61"/>
    </row>
    <row r="941" spans="2:10" ht="12.75" x14ac:dyDescent="0.2">
      <c r="B941" s="32"/>
      <c r="D941" s="59"/>
      <c r="E941" s="59"/>
      <c r="G941" s="39"/>
      <c r="H941" s="35"/>
      <c r="J941" s="61"/>
    </row>
    <row r="942" spans="2:10" ht="12.75" x14ac:dyDescent="0.2">
      <c r="B942" s="32"/>
      <c r="D942" s="59"/>
      <c r="E942" s="59"/>
      <c r="G942" s="39"/>
      <c r="H942" s="35"/>
      <c r="J942" s="61"/>
    </row>
    <row r="943" spans="2:10" ht="12.75" x14ac:dyDescent="0.2">
      <c r="B943" s="32"/>
      <c r="D943" s="59"/>
      <c r="E943" s="59"/>
      <c r="G943" s="39"/>
      <c r="H943" s="35"/>
      <c r="J943" s="61"/>
    </row>
    <row r="944" spans="2:10" ht="12.75" x14ac:dyDescent="0.2">
      <c r="B944" s="32"/>
      <c r="D944" s="59"/>
      <c r="E944" s="59"/>
      <c r="G944" s="39"/>
      <c r="H944" s="35"/>
      <c r="J944" s="61"/>
    </row>
    <row r="945" spans="2:10" ht="12.75" x14ac:dyDescent="0.2">
      <c r="B945" s="32"/>
      <c r="D945" s="59"/>
      <c r="E945" s="59"/>
      <c r="G945" s="39"/>
      <c r="H945" s="35"/>
      <c r="J945" s="61"/>
    </row>
    <row r="946" spans="2:10" ht="12.75" x14ac:dyDescent="0.2">
      <c r="B946" s="32"/>
      <c r="D946" s="59"/>
      <c r="E946" s="59"/>
      <c r="G946" s="39"/>
      <c r="H946" s="35"/>
      <c r="J946" s="61"/>
    </row>
    <row r="947" spans="2:10" ht="12.75" x14ac:dyDescent="0.2">
      <c r="B947" s="32"/>
      <c r="D947" s="59"/>
      <c r="E947" s="59"/>
      <c r="G947" s="39"/>
      <c r="H947" s="35"/>
      <c r="J947" s="61"/>
    </row>
    <row r="948" spans="2:10" ht="12.75" x14ac:dyDescent="0.2">
      <c r="B948" s="32"/>
      <c r="D948" s="59"/>
      <c r="E948" s="59"/>
      <c r="G948" s="39"/>
      <c r="H948" s="35"/>
      <c r="J948" s="61"/>
    </row>
    <row r="949" spans="2:10" ht="12.75" x14ac:dyDescent="0.2">
      <c r="B949" s="32"/>
      <c r="D949" s="59"/>
      <c r="E949" s="59"/>
      <c r="G949" s="39"/>
      <c r="H949" s="35"/>
      <c r="J949" s="61"/>
    </row>
    <row r="950" spans="2:10" ht="12.75" x14ac:dyDescent="0.2">
      <c r="B950" s="32"/>
      <c r="D950" s="59"/>
      <c r="E950" s="59"/>
      <c r="G950" s="39"/>
      <c r="H950" s="35"/>
      <c r="J950" s="61"/>
    </row>
    <row r="951" spans="2:10" ht="12.75" x14ac:dyDescent="0.2">
      <c r="B951" s="32"/>
      <c r="D951" s="59"/>
      <c r="E951" s="59"/>
      <c r="G951" s="39"/>
      <c r="H951" s="35"/>
      <c r="J951" s="61"/>
    </row>
    <row r="952" spans="2:10" ht="12.75" x14ac:dyDescent="0.2">
      <c r="B952" s="32"/>
      <c r="D952" s="59"/>
      <c r="E952" s="59"/>
      <c r="G952" s="39"/>
      <c r="H952" s="35"/>
      <c r="J952" s="61"/>
    </row>
    <row r="953" spans="2:10" ht="12.75" x14ac:dyDescent="0.2">
      <c r="B953" s="32"/>
      <c r="D953" s="59"/>
      <c r="E953" s="59"/>
      <c r="G953" s="39"/>
      <c r="H953" s="35"/>
      <c r="J953" s="61"/>
    </row>
    <row r="954" spans="2:10" ht="12.75" x14ac:dyDescent="0.2">
      <c r="B954" s="32"/>
      <c r="D954" s="59"/>
      <c r="E954" s="59"/>
      <c r="G954" s="39"/>
      <c r="H954" s="35"/>
      <c r="J954" s="61"/>
    </row>
    <row r="955" spans="2:10" ht="12.75" x14ac:dyDescent="0.2">
      <c r="B955" s="32"/>
      <c r="D955" s="59"/>
      <c r="E955" s="59"/>
      <c r="G955" s="39"/>
      <c r="H955" s="35"/>
      <c r="J955" s="61"/>
    </row>
    <row r="956" spans="2:10" ht="12.75" x14ac:dyDescent="0.2">
      <c r="B956" s="32"/>
      <c r="D956" s="59"/>
      <c r="E956" s="59"/>
      <c r="G956" s="39"/>
      <c r="H956" s="35"/>
      <c r="J956" s="61"/>
    </row>
    <row r="957" spans="2:10" ht="12.75" x14ac:dyDescent="0.2">
      <c r="B957" s="32"/>
      <c r="D957" s="59"/>
      <c r="E957" s="59"/>
      <c r="G957" s="39"/>
      <c r="H957" s="35"/>
      <c r="J957" s="61"/>
    </row>
    <row r="958" spans="2:10" ht="12.75" x14ac:dyDescent="0.2">
      <c r="B958" s="32"/>
      <c r="D958" s="59"/>
      <c r="E958" s="59"/>
      <c r="G958" s="39"/>
      <c r="H958" s="35"/>
      <c r="J958" s="61"/>
    </row>
    <row r="959" spans="2:10" ht="12.75" x14ac:dyDescent="0.2">
      <c r="B959" s="32"/>
      <c r="D959" s="59"/>
      <c r="E959" s="59"/>
      <c r="G959" s="39"/>
      <c r="H959" s="35"/>
      <c r="J959" s="61"/>
    </row>
    <row r="960" spans="2:10" ht="12.75" x14ac:dyDescent="0.2">
      <c r="B960" s="32"/>
      <c r="D960" s="59"/>
      <c r="E960" s="59"/>
      <c r="G960" s="39"/>
      <c r="H960" s="35"/>
      <c r="J960" s="61"/>
    </row>
    <row r="961" spans="2:10" ht="12.75" x14ac:dyDescent="0.2">
      <c r="B961" s="32"/>
      <c r="D961" s="59"/>
      <c r="E961" s="59"/>
      <c r="G961" s="39"/>
      <c r="H961" s="35"/>
      <c r="J961" s="61"/>
    </row>
    <row r="962" spans="2:10" ht="12.75" x14ac:dyDescent="0.2">
      <c r="B962" s="32"/>
      <c r="D962" s="59"/>
      <c r="E962" s="59"/>
      <c r="G962" s="39"/>
      <c r="H962" s="35"/>
      <c r="J962" s="61"/>
    </row>
    <row r="963" spans="2:10" ht="12.75" x14ac:dyDescent="0.2">
      <c r="B963" s="32"/>
      <c r="D963" s="59"/>
      <c r="E963" s="59"/>
      <c r="G963" s="39"/>
      <c r="H963" s="35"/>
      <c r="J963" s="61"/>
    </row>
    <row r="964" spans="2:10" ht="12.75" x14ac:dyDescent="0.2">
      <c r="B964" s="32"/>
      <c r="D964" s="59"/>
      <c r="E964" s="59"/>
      <c r="G964" s="39"/>
      <c r="H964" s="35"/>
      <c r="J964" s="61"/>
    </row>
    <row r="965" spans="2:10" ht="12.75" x14ac:dyDescent="0.2">
      <c r="B965" s="32"/>
      <c r="D965" s="59"/>
      <c r="E965" s="59"/>
      <c r="G965" s="39"/>
      <c r="H965" s="35"/>
      <c r="J965" s="61"/>
    </row>
    <row r="966" spans="2:10" ht="12.75" x14ac:dyDescent="0.2">
      <c r="B966" s="32"/>
      <c r="D966" s="59"/>
      <c r="E966" s="59"/>
      <c r="G966" s="39"/>
      <c r="H966" s="35"/>
      <c r="J966" s="61"/>
    </row>
    <row r="967" spans="2:10" ht="12.75" x14ac:dyDescent="0.2">
      <c r="B967" s="32"/>
      <c r="D967" s="59"/>
      <c r="E967" s="59"/>
      <c r="G967" s="39"/>
      <c r="H967" s="35"/>
      <c r="J967" s="61"/>
    </row>
    <row r="968" spans="2:10" ht="12.75" x14ac:dyDescent="0.2">
      <c r="B968" s="32"/>
      <c r="D968" s="59"/>
      <c r="E968" s="59"/>
      <c r="G968" s="39"/>
      <c r="H968" s="35"/>
      <c r="J968" s="61"/>
    </row>
    <row r="969" spans="2:10" ht="12.75" x14ac:dyDescent="0.2">
      <c r="B969" s="32"/>
      <c r="D969" s="59"/>
      <c r="E969" s="59"/>
      <c r="G969" s="39"/>
      <c r="H969" s="35"/>
      <c r="J969" s="61"/>
    </row>
    <row r="970" spans="2:10" ht="12.75" x14ac:dyDescent="0.2">
      <c r="B970" s="32"/>
      <c r="D970" s="59"/>
      <c r="E970" s="59"/>
      <c r="G970" s="39"/>
      <c r="H970" s="35"/>
      <c r="J970" s="61"/>
    </row>
    <row r="971" spans="2:10" ht="12.75" x14ac:dyDescent="0.2">
      <c r="B971" s="32"/>
      <c r="D971" s="59"/>
      <c r="E971" s="59"/>
      <c r="G971" s="39"/>
      <c r="H971" s="35"/>
      <c r="J971" s="61"/>
    </row>
    <row r="972" spans="2:10" ht="12.75" x14ac:dyDescent="0.2">
      <c r="B972" s="32"/>
      <c r="D972" s="59"/>
      <c r="E972" s="59"/>
      <c r="G972" s="39"/>
      <c r="H972" s="35"/>
      <c r="J972" s="61"/>
    </row>
    <row r="973" spans="2:10" ht="12.75" x14ac:dyDescent="0.2">
      <c r="B973" s="32"/>
      <c r="D973" s="59"/>
      <c r="E973" s="59"/>
      <c r="G973" s="39"/>
      <c r="H973" s="35"/>
      <c r="J973" s="61"/>
    </row>
    <row r="974" spans="2:10" ht="12.75" x14ac:dyDescent="0.2">
      <c r="B974" s="32"/>
      <c r="D974" s="59"/>
      <c r="E974" s="59"/>
      <c r="G974" s="39"/>
      <c r="H974" s="35"/>
      <c r="J974" s="61"/>
    </row>
    <row r="975" spans="2:10" ht="12.75" x14ac:dyDescent="0.2">
      <c r="B975" s="32"/>
      <c r="D975" s="59"/>
      <c r="E975" s="59"/>
      <c r="G975" s="39"/>
      <c r="H975" s="35"/>
      <c r="J975" s="61"/>
    </row>
    <row r="976" spans="2:10" ht="12.75" x14ac:dyDescent="0.2">
      <c r="B976" s="32"/>
      <c r="D976" s="59"/>
      <c r="E976" s="59"/>
      <c r="G976" s="39"/>
      <c r="H976" s="35"/>
      <c r="J976" s="61"/>
    </row>
    <row r="977" spans="2:10" ht="12.75" x14ac:dyDescent="0.2">
      <c r="B977" s="32"/>
      <c r="D977" s="59"/>
      <c r="E977" s="59"/>
      <c r="G977" s="39"/>
      <c r="H977" s="35"/>
      <c r="J977" s="61"/>
    </row>
    <row r="978" spans="2:10" ht="12.75" x14ac:dyDescent="0.2">
      <c r="B978" s="32"/>
      <c r="D978" s="59"/>
      <c r="E978" s="59"/>
      <c r="G978" s="39"/>
      <c r="H978" s="35"/>
      <c r="J978" s="61"/>
    </row>
    <row r="979" spans="2:10" ht="12.75" x14ac:dyDescent="0.2">
      <c r="B979" s="32"/>
      <c r="D979" s="59"/>
      <c r="E979" s="59"/>
      <c r="G979" s="39"/>
      <c r="H979" s="35"/>
      <c r="J979" s="61"/>
    </row>
    <row r="980" spans="2:10" ht="12.75" x14ac:dyDescent="0.2">
      <c r="B980" s="32"/>
      <c r="D980" s="59"/>
      <c r="E980" s="59"/>
      <c r="G980" s="39"/>
      <c r="H980" s="35"/>
      <c r="J980" s="61"/>
    </row>
    <row r="981" spans="2:10" ht="12.75" x14ac:dyDescent="0.2">
      <c r="B981" s="32"/>
      <c r="D981" s="59"/>
      <c r="E981" s="59"/>
      <c r="G981" s="39"/>
      <c r="H981" s="35"/>
      <c r="J981" s="61"/>
    </row>
    <row r="982" spans="2:10" ht="12.75" x14ac:dyDescent="0.2">
      <c r="B982" s="32"/>
      <c r="D982" s="59"/>
      <c r="E982" s="59"/>
      <c r="G982" s="39"/>
      <c r="H982" s="35"/>
      <c r="J982" s="61"/>
    </row>
    <row r="983" spans="2:10" ht="12.75" x14ac:dyDescent="0.2">
      <c r="B983" s="32"/>
      <c r="D983" s="59"/>
      <c r="E983" s="59"/>
      <c r="G983" s="39"/>
      <c r="H983" s="35"/>
      <c r="J983" s="61"/>
    </row>
    <row r="984" spans="2:10" ht="12.75" x14ac:dyDescent="0.2">
      <c r="B984" s="32"/>
      <c r="D984" s="59"/>
      <c r="E984" s="59"/>
      <c r="G984" s="39"/>
      <c r="H984" s="35"/>
      <c r="J984" s="61"/>
    </row>
    <row r="985" spans="2:10" ht="12.75" x14ac:dyDescent="0.2">
      <c r="B985" s="32"/>
      <c r="D985" s="59"/>
      <c r="E985" s="59"/>
      <c r="G985" s="39"/>
      <c r="H985" s="35"/>
      <c r="J985" s="61"/>
    </row>
    <row r="986" spans="2:10" ht="12.75" x14ac:dyDescent="0.2">
      <c r="B986" s="32"/>
      <c r="D986" s="59"/>
      <c r="E986" s="59"/>
      <c r="G986" s="39"/>
      <c r="H986" s="35"/>
      <c r="J986" s="61"/>
    </row>
    <row r="987" spans="2:10" ht="12.75" x14ac:dyDescent="0.2">
      <c r="B987" s="32"/>
      <c r="D987" s="59"/>
      <c r="E987" s="59"/>
      <c r="G987" s="39"/>
      <c r="H987" s="35"/>
      <c r="J987" s="61"/>
    </row>
    <row r="988" spans="2:10" ht="12.75" x14ac:dyDescent="0.2">
      <c r="B988" s="32"/>
      <c r="D988" s="59"/>
      <c r="E988" s="59"/>
      <c r="G988" s="39"/>
      <c r="H988" s="35"/>
      <c r="J988" s="61"/>
    </row>
    <row r="989" spans="2:10" ht="12.75" x14ac:dyDescent="0.2">
      <c r="B989" s="32"/>
      <c r="D989" s="59"/>
      <c r="E989" s="59"/>
      <c r="G989" s="39"/>
      <c r="H989" s="35"/>
      <c r="J989" s="61"/>
    </row>
    <row r="990" spans="2:10" ht="12.75" x14ac:dyDescent="0.2">
      <c r="B990" s="32"/>
      <c r="D990" s="59"/>
      <c r="E990" s="59"/>
      <c r="G990" s="39"/>
      <c r="H990" s="35"/>
      <c r="J990" s="61"/>
    </row>
    <row r="991" spans="2:10" ht="12.75" x14ac:dyDescent="0.2">
      <c r="B991" s="32"/>
      <c r="D991" s="59"/>
      <c r="E991" s="59"/>
      <c r="G991" s="39"/>
      <c r="H991" s="35"/>
      <c r="J991" s="61"/>
    </row>
    <row r="992" spans="2:10" ht="12.75" x14ac:dyDescent="0.2">
      <c r="B992" s="32"/>
      <c r="D992" s="59"/>
      <c r="E992" s="59"/>
      <c r="G992" s="39"/>
      <c r="H992" s="35"/>
      <c r="J992" s="61"/>
    </row>
    <row r="993" spans="2:10" ht="12.75" x14ac:dyDescent="0.2">
      <c r="B993" s="32"/>
      <c r="D993" s="59"/>
      <c r="E993" s="59"/>
      <c r="G993" s="39"/>
      <c r="H993" s="35"/>
      <c r="J993" s="61"/>
    </row>
    <row r="994" spans="2:10" ht="12.75" x14ac:dyDescent="0.2">
      <c r="B994" s="32"/>
      <c r="D994" s="59"/>
      <c r="E994" s="59"/>
      <c r="G994" s="39"/>
      <c r="H994" s="35"/>
      <c r="J994" s="61"/>
    </row>
    <row r="995" spans="2:10" ht="12.75" x14ac:dyDescent="0.2">
      <c r="B995" s="32"/>
      <c r="D995" s="59"/>
      <c r="E995" s="59"/>
      <c r="G995" s="39"/>
      <c r="H995" s="35"/>
      <c r="J995" s="61"/>
    </row>
    <row r="996" spans="2:10" ht="12.75" x14ac:dyDescent="0.2">
      <c r="B996" s="32"/>
      <c r="D996" s="59"/>
      <c r="E996" s="59"/>
      <c r="G996" s="39"/>
      <c r="H996" s="35"/>
      <c r="J996" s="61"/>
    </row>
    <row r="997" spans="2:10" ht="12.75" x14ac:dyDescent="0.2">
      <c r="B997" s="32"/>
      <c r="D997" s="59"/>
      <c r="E997" s="59"/>
      <c r="G997" s="39"/>
      <c r="H997" s="35"/>
      <c r="J997" s="61"/>
    </row>
    <row r="998" spans="2:10" ht="12.75" x14ac:dyDescent="0.2">
      <c r="B998" s="32"/>
      <c r="D998" s="59"/>
      <c r="E998" s="59"/>
      <c r="G998" s="39"/>
      <c r="H998" s="35"/>
      <c r="J998" s="61"/>
    </row>
    <row r="999" spans="2:10" ht="12.75" x14ac:dyDescent="0.2">
      <c r="B999" s="32"/>
      <c r="D999" s="59"/>
      <c r="E999" s="59"/>
      <c r="G999" s="39"/>
      <c r="H999" s="35"/>
      <c r="J999" s="61"/>
    </row>
    <row r="1000" spans="2:10" ht="12.75" x14ac:dyDescent="0.2">
      <c r="B1000" s="32"/>
      <c r="D1000" s="59"/>
      <c r="E1000" s="59"/>
      <c r="G1000" s="39"/>
      <c r="H1000" s="35"/>
      <c r="J1000" s="61"/>
    </row>
    <row r="1001" spans="2:10" ht="12.75" x14ac:dyDescent="0.2">
      <c r="B1001" s="32"/>
      <c r="D1001" s="59"/>
      <c r="E1001" s="59"/>
      <c r="G1001" s="39"/>
      <c r="H1001" s="35"/>
      <c r="J1001" s="61"/>
    </row>
    <row r="1002" spans="2:10" ht="12.75" x14ac:dyDescent="0.2">
      <c r="B1002" s="32"/>
      <c r="D1002" s="59"/>
      <c r="E1002" s="59"/>
      <c r="G1002" s="39"/>
      <c r="H1002" s="35"/>
      <c r="J1002" s="61"/>
    </row>
    <row r="1003" spans="2:10" ht="12.75" x14ac:dyDescent="0.2">
      <c r="B1003" s="32"/>
      <c r="D1003" s="59"/>
      <c r="E1003" s="59"/>
      <c r="G1003" s="39"/>
      <c r="H1003" s="35"/>
      <c r="J1003" s="61"/>
    </row>
    <row r="1004" spans="2:10" ht="12.75" x14ac:dyDescent="0.2">
      <c r="B1004" s="32"/>
      <c r="D1004" s="59"/>
      <c r="E1004" s="59"/>
      <c r="G1004" s="39"/>
      <c r="H1004" s="35"/>
      <c r="J1004" s="61"/>
    </row>
    <row r="1005" spans="2:10" ht="12.75" x14ac:dyDescent="0.2">
      <c r="B1005" s="32"/>
      <c r="D1005" s="59"/>
      <c r="E1005" s="59"/>
      <c r="G1005" s="39"/>
      <c r="H1005" s="35"/>
      <c r="J1005" s="61"/>
    </row>
    <row r="1006" spans="2:10" ht="12.75" x14ac:dyDescent="0.2">
      <c r="B1006" s="32"/>
      <c r="D1006" s="59"/>
      <c r="E1006" s="59"/>
      <c r="G1006" s="39"/>
      <c r="H1006" s="35"/>
      <c r="J1006" s="61"/>
    </row>
    <row r="1007" spans="2:10" ht="12.75" x14ac:dyDescent="0.2">
      <c r="B1007" s="32"/>
      <c r="D1007" s="59"/>
      <c r="E1007" s="59"/>
      <c r="G1007" s="39"/>
      <c r="H1007" s="35"/>
      <c r="J1007" s="61"/>
    </row>
    <row r="1008" spans="2:10" ht="12.75" x14ac:dyDescent="0.2">
      <c r="B1008" s="32"/>
      <c r="D1008" s="59"/>
      <c r="E1008" s="59"/>
      <c r="G1008" s="39"/>
      <c r="H1008" s="35"/>
      <c r="J1008" s="61"/>
    </row>
    <row r="1009" spans="2:10" ht="12.75" x14ac:dyDescent="0.2">
      <c r="B1009" s="32"/>
      <c r="D1009" s="59"/>
      <c r="E1009" s="59"/>
      <c r="G1009" s="39"/>
      <c r="H1009" s="35"/>
      <c r="J1009" s="61"/>
    </row>
    <row r="1010" spans="2:10" ht="12.75" x14ac:dyDescent="0.2">
      <c r="B1010" s="32"/>
      <c r="D1010" s="59"/>
      <c r="E1010" s="59"/>
      <c r="G1010" s="39"/>
      <c r="H1010" s="35"/>
      <c r="J1010" s="61"/>
    </row>
    <row r="1011" spans="2:10" ht="12.75" x14ac:dyDescent="0.2">
      <c r="B1011" s="32"/>
      <c r="D1011" s="59"/>
      <c r="E1011" s="59"/>
      <c r="G1011" s="39"/>
      <c r="H1011" s="35"/>
      <c r="J1011" s="61"/>
    </row>
    <row r="1012" spans="2:10" ht="12.75" x14ac:dyDescent="0.2">
      <c r="B1012" s="32"/>
      <c r="D1012" s="59"/>
      <c r="E1012" s="59"/>
      <c r="G1012" s="39"/>
      <c r="H1012" s="35"/>
      <c r="J1012" s="61"/>
    </row>
    <row r="1013" spans="2:10" ht="12.75" x14ac:dyDescent="0.2">
      <c r="B1013" s="32"/>
      <c r="D1013" s="59"/>
      <c r="E1013" s="59"/>
      <c r="G1013" s="39"/>
      <c r="H1013" s="35"/>
      <c r="J1013" s="61"/>
    </row>
    <row r="1014" spans="2:10" ht="12.75" x14ac:dyDescent="0.2">
      <c r="B1014" s="32"/>
      <c r="D1014" s="59"/>
      <c r="E1014" s="59"/>
      <c r="G1014" s="39"/>
      <c r="H1014" s="35"/>
      <c r="J1014" s="61"/>
    </row>
    <row r="1015" spans="2:10" ht="12.75" x14ac:dyDescent="0.2">
      <c r="B1015" s="32"/>
      <c r="D1015" s="59"/>
      <c r="E1015" s="59"/>
      <c r="G1015" s="39"/>
      <c r="H1015" s="35"/>
      <c r="J1015" s="61"/>
    </row>
    <row r="1016" spans="2:10" ht="12.75" x14ac:dyDescent="0.2">
      <c r="B1016" s="32"/>
      <c r="D1016" s="59"/>
      <c r="E1016" s="59"/>
      <c r="G1016" s="39"/>
      <c r="H1016" s="35"/>
      <c r="J1016" s="61"/>
    </row>
    <row r="1017" spans="2:10" ht="12.75" x14ac:dyDescent="0.2">
      <c r="B1017" s="32"/>
      <c r="D1017" s="59"/>
      <c r="E1017" s="59"/>
      <c r="G1017" s="39"/>
      <c r="H1017" s="35"/>
      <c r="J1017" s="61"/>
    </row>
    <row r="1018" spans="2:10" ht="12.75" x14ac:dyDescent="0.2">
      <c r="B1018" s="32"/>
      <c r="D1018" s="59"/>
      <c r="E1018" s="59"/>
      <c r="G1018" s="39"/>
      <c r="H1018" s="35"/>
      <c r="J1018" s="61"/>
    </row>
    <row r="1019" spans="2:10" ht="12.75" x14ac:dyDescent="0.2">
      <c r="B1019" s="32"/>
      <c r="D1019" s="59"/>
      <c r="E1019" s="59"/>
      <c r="G1019" s="39"/>
      <c r="H1019" s="35"/>
      <c r="J1019" s="61"/>
    </row>
    <row r="1020" spans="2:10" ht="12.75" x14ac:dyDescent="0.2">
      <c r="B1020" s="32"/>
      <c r="D1020" s="59"/>
      <c r="E1020" s="59"/>
      <c r="G1020" s="39"/>
      <c r="H1020" s="35"/>
      <c r="J1020" s="61"/>
    </row>
    <row r="1021" spans="2:10" ht="12.75" x14ac:dyDescent="0.2">
      <c r="B1021" s="32"/>
      <c r="D1021" s="59"/>
      <c r="E1021" s="59"/>
      <c r="G1021" s="39"/>
      <c r="H1021" s="35"/>
      <c r="J1021" s="61"/>
    </row>
    <row r="1022" spans="2:10" ht="12.75" x14ac:dyDescent="0.2">
      <c r="B1022" s="32"/>
      <c r="D1022" s="59"/>
      <c r="E1022" s="59"/>
      <c r="G1022" s="39"/>
      <c r="H1022" s="35"/>
      <c r="J1022" s="61"/>
    </row>
    <row r="1023" spans="2:10" ht="12.75" x14ac:dyDescent="0.2">
      <c r="B1023" s="32"/>
      <c r="D1023" s="59"/>
      <c r="E1023" s="59"/>
      <c r="G1023" s="39"/>
      <c r="H1023" s="35"/>
      <c r="J1023" s="61"/>
    </row>
    <row r="1024" spans="2:10" ht="12.75" x14ac:dyDescent="0.2">
      <c r="B1024" s="32"/>
      <c r="D1024" s="59"/>
      <c r="E1024" s="59"/>
      <c r="G1024" s="39"/>
      <c r="H1024" s="35"/>
      <c r="J1024" s="61"/>
    </row>
    <row r="1025" spans="2:10" ht="12.75" x14ac:dyDescent="0.2">
      <c r="B1025" s="32"/>
      <c r="D1025" s="59"/>
      <c r="E1025" s="59"/>
      <c r="G1025" s="39"/>
      <c r="H1025" s="35"/>
      <c r="J1025" s="61"/>
    </row>
  </sheetData>
  <autoFilter ref="I1:I1025"/>
  <customSheetViews>
    <customSheetView guid="{1713B7F3-1650-4BFE-A450-4B00E81F9191}" filter="1" showAutoFilter="1">
      <pageMargins left="0.7" right="0.7" top="0.75" bottom="0.75" header="0.3" footer="0.3"/>
      <autoFilter ref="A1:V504">
        <filterColumn colId="19">
          <filters>
            <filter val="TRUE"/>
          </filters>
        </filterColumn>
      </autoFilter>
    </customSheetView>
    <customSheetView guid="{0C51C0BE-9C63-48BC-88B7-5836CDAFE1D1}" filter="1" showAutoFilter="1">
      <pageMargins left="0.7" right="0.7" top="0.75" bottom="0.75" header="0.3" footer="0.3"/>
      <autoFilter ref="A1:U530">
        <filterColumn colId="20">
          <filters>
            <filter val="TRUE"/>
          </filters>
        </filterColumn>
      </autoFilter>
    </customSheetView>
    <customSheetView guid="{59A6B077-2EDF-42ED-9CE9-18C908993932}" filter="1" showAutoFilter="1">
      <pageMargins left="0.7" right="0.7" top="0.75" bottom="0.75" header="0.3" footer="0.3"/>
      <autoFilter ref="A1:V530">
        <filterColumn colId="18">
          <filters blank="1"/>
        </filterColumn>
      </autoFilter>
    </customSheetView>
  </customSheetViews>
  <conditionalFormatting sqref="A2:V495">
    <cfRule type="expression" dxfId="2" priority="1" stopIfTrue="1">
      <formula>$U2=TRUE</formula>
    </cfRule>
  </conditionalFormatting>
  <conditionalFormatting sqref="A2:V495">
    <cfRule type="expression" dxfId="1" priority="2" stopIfTrue="1">
      <formula>OR($G2="Delivered",$G2="Cash Remitted")</formula>
    </cfRule>
  </conditionalFormatting>
  <conditionalFormatting sqref="A2:V495">
    <cfRule type="expression" dxfId="0" priority="3" stopIfTrue="1">
      <formula>OR($G2="Cancelled",$G2="Deleted",$G2="Banned")</formula>
    </cfRule>
  </conditionalFormatting>
  <dataValidations count="2">
    <dataValidation type="list" allowBlank="1" showErrorMessage="1" sqref="G2:G1025">
      <formula1>"Pending,Confirmed,Awaiting,Delivered,Commitment Fee Requested,Not Picking Calls,Switched Off,Shipped,Scheduled,Failed,Cancelled,Returned,Cash Remitted,After-Sale Call,Deleted,Banned"</formula1>
    </dataValidation>
    <dataValidation type="custom" allowBlank="1" showDropDown="1" sqref="H2:H1025">
      <formula1>OR(NOT(ISERROR(DATEVALUE(H2))), AND(ISNUMBER(H2), LEFT(CELL("format", H2))="D"))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July Customers Rep 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Chinedu Ugwu</cp:lastModifiedBy>
  <dcterms:modified xsi:type="dcterms:W3CDTF">2026-07-20T00:30:40Z</dcterms:modified>
</cp:coreProperties>
</file>